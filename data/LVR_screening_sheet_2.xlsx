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onamoossavi/Downloads/"/>
    </mc:Choice>
  </mc:AlternateContent>
  <xr:revisionPtr revIDLastSave="0" documentId="8_{DEEF9716-3342-224F-9D5B-DC043F3A695C}" xr6:coauthVersionLast="47" xr6:coauthVersionMax="47" xr10:uidLastSave="{00000000-0000-0000-0000-000000000000}"/>
  <bookViews>
    <workbookView xWindow="0" yWindow="0" windowWidth="28800" windowHeight="18000" tabRatio="500" activeTab="1" xr2:uid="{00000000-000D-0000-FFFF-FFFF00000000}"/>
  </bookViews>
  <sheets>
    <sheet name="Instructions" sheetId="1" r:id="rId1"/>
    <sheet name="Screening" sheetId="2" r:id="rId2"/>
    <sheet name="Counts" sheetId="3" r:id="rId3"/>
    <sheet name="Lists" sheetId="4" r:id="rId4"/>
  </sheets>
  <definedNames>
    <definedName name="_xlnm._FilterDatabase" localSheetId="1" hidden="1">Screening!$A$1:$P$136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3" l="1"/>
  <c r="B31" i="3"/>
  <c r="C28" i="3"/>
  <c r="B28" i="3"/>
  <c r="C27" i="3"/>
  <c r="B27" i="3"/>
  <c r="C26" i="3"/>
  <c r="B26" i="3"/>
  <c r="C25" i="3"/>
  <c r="B25" i="3"/>
  <c r="C24" i="3"/>
  <c r="B24" i="3"/>
  <c r="C23" i="3"/>
  <c r="B23" i="3"/>
  <c r="C22" i="3"/>
  <c r="B22" i="3"/>
  <c r="C21" i="3"/>
  <c r="B21" i="3"/>
  <c r="C20" i="3"/>
  <c r="B20" i="3"/>
  <c r="C19" i="3"/>
  <c r="B19" i="3"/>
  <c r="B14" i="3"/>
  <c r="B13" i="3"/>
  <c r="B12" i="3"/>
  <c r="B11" i="3"/>
  <c r="B10" i="3"/>
  <c r="B9" i="3"/>
  <c r="B8" i="3"/>
  <c r="B7" i="3" s="1"/>
  <c r="B6" i="3"/>
</calcChain>
</file>

<file path=xl/sharedStrings.xml><?xml version="1.0" encoding="utf-8"?>
<sst xmlns="http://schemas.openxmlformats.org/spreadsheetml/2006/main" count="1264" uniqueCount="796">
  <si>
    <t>LVR Screening Questionnaires – Title/Abstract &amp; Full-Text Screening</t>
  </si>
  <si>
    <t>How to use</t>
  </si>
  <si>
    <t>1</t>
  </si>
  <si>
    <t>Go to the "Screening" tab. Read the title; open the abstract only if the title does not settle it.</t>
  </si>
  <si>
    <t>2</t>
  </si>
  <si>
    <t>Yellow columns are the ones you fill in. Pick from the drop-down lists only.</t>
  </si>
  <si>
    <t>3</t>
  </si>
  <si>
    <t>Title/abstract decision: Include, Exclude, or Maybe (unsure). Include + Maybe both go to full text.</t>
  </si>
  <si>
    <t>4</t>
  </si>
  <si>
    <t>If you choose Exclude, also choose ONE reason in the next column.</t>
  </si>
  <si>
    <t>5</t>
  </si>
  <si>
    <t>Rows marked "Missing" in the Abstract column have no abstract: click the DOI link to read it online.</t>
  </si>
  <si>
    <t>6</t>
  </si>
  <si>
    <t>After full-text review, fill the two full-text columns for every Include/Maybe paper.</t>
  </si>
  <si>
    <t>7</t>
  </si>
  <si>
    <t>The "Counts" tab updates automatically and gives the numbers for your flow diagram.</t>
  </si>
  <si>
    <t>Inclusion criteria</t>
  </si>
  <si>
    <t>Include</t>
  </si>
  <si>
    <t>Adults (18+); evaluates a self-report questionnaire or screening item against a measure of vision or LVR need; reports accuracy, validation, or clinical use; glaucoma PROM studies; LVR referral guidelines.</t>
  </si>
  <si>
    <t>Exclude</t>
  </si>
  <si>
    <t>Children only; rehabilitation interventions with no questionnaire data; no questionnaire/screening item; conference abstract without data; not English/French; case reports or opinion.</t>
  </si>
  <si>
    <t>Example of a filled row</t>
  </si>
  <si>
    <t>Title/abstract decision</t>
  </si>
  <si>
    <t>Reason</t>
  </si>
  <si>
    <t>No questionnaire/screening item</t>
  </si>
  <si>
    <t>Notes</t>
  </si>
  <si>
    <t>Population study of VI prevalence; no self-report tool evaluated</t>
  </si>
  <si>
    <t>AI suggestions</t>
  </si>
  <si>
    <t>Grey columns N–P hold AI-suggested decisions with a one-line rationale. They are suggestions only: read each title/abstract, then enter YOUR decision in the yellow columns. Report AI assistance in your methods.</t>
  </si>
  <si>
    <t>ID</t>
  </si>
  <si>
    <t>Year</t>
  </si>
  <si>
    <t>Authors</t>
  </si>
  <si>
    <t>Title</t>
  </si>
  <si>
    <t>Journal</t>
  </si>
  <si>
    <t>DOI link</t>
  </si>
  <si>
    <t>Abstract</t>
  </si>
  <si>
    <t>Exclusion reason (T/A)</t>
  </si>
  <si>
    <t>Full-text decision</t>
  </si>
  <si>
    <t>Exclusion reason (FT)</t>
  </si>
  <si>
    <t>Zotero key</t>
  </si>
  <si>
    <t>Suggested decision (AI)</t>
  </si>
  <si>
    <t>Suggested reason (AI)</t>
  </si>
  <si>
    <t>AI rationale</t>
  </si>
  <si>
    <t>ResearchGate</t>
  </si>
  <si>
    <t>Open (URL)</t>
  </si>
  <si>
    <t>PDF | The study presented in this article is intended to investigate the social support provided in high school Gymnasium and Lyceum) students with... | Find, read and cite all the research you need on ResearchGate</t>
  </si>
  <si>
    <t>WSA9ZTZU</t>
  </si>
  <si>
    <t>Wrong population (not adults)</t>
  </si>
  <si>
    <t>High-school students; social support, no screening tool</t>
  </si>
  <si>
    <t>Cherny, Christina et al.</t>
  </si>
  <si>
    <t>A novel collaboration: Multifocal RGPs and low vision aids increase quality of life in visually impaired</t>
  </si>
  <si>
    <t>Contact Lens and Anterior Eye</t>
  </si>
  <si>
    <t>Open</t>
  </si>
  <si>
    <t>Objectives
By presenting 2 cases, this study aimed to discuss the utility of multifocal rigid gas permeable contact lenses in the low vision patient population, and their ability to decrease reliance on low vision aids and to increase quality of life.
Methods
A retrospective case series of 2 patients receiving care from two specialty practice locations was performed. Both patients were visually impaired presbyopic myopes, and sought care from both contact lens and low vision specialties in order to improve visual function and enhance their ability to perform activities of daily living. They were each fit with multifocal gas permeable contact lenses to be used in conjunction with low vision devices. The Visual Functioning Questionnaire – 25 was administered to both patients in order to quantify improvement to quality of life with the new contact lenses.
Results
Both patients were successfully fit with multifocal gas permeable contact lenses and reported decreased reliance on low vision aids as well as significant improvement in quality of life when wearing the contact lenses.
Conclusion
The use of multifocal rigid gas permeable contact lenses in the low vision patient population may be an effective tool to make visually impaired patients, particularly presbyopic degenerative myopes, less reliant on low vision aids, thereby improving their quality of life.</t>
  </si>
  <si>
    <t>ZQRGRJ6Q</t>
  </si>
  <si>
    <t>Intervention study only</t>
  </si>
  <si>
    <t>Case series of contact lenses in LV patients</t>
  </si>
  <si>
    <t>Tabrett, Daryl R. et al.</t>
  </si>
  <si>
    <t>Adjustment to vision loss in a mixed sample of adults with established visual impairment.</t>
  </si>
  <si>
    <t>Investigative ophthalmology &amp; visual science</t>
  </si>
  <si>
    <t>PURPOSE: To determine factors associated with the level of adjustment to vision loss in a cross-sectional sample of adults with mixed visual impairment. METHODS:  One hundred participants were administered the Acceptance and Self-Worth  Adjustment Scale (AS-WAS) to assess adjustment to vision loss. The severity of  vision loss was determined using binocular clinical visual function assessments  including visual acuity, contrast sensitivity, reading performance, and visual  fields. Key demographics including age, duration of visual impairment, general  health, education, and living arrangements were evaluated, as were self-reported  vision-related activity limitation (VRAL), depression, social support, and  personality. RESULTS: Multivariate analysis showed that higher levels of  depressive symptoms (β = -0.26, P &lt; 0.01) and of the personality trait  neuroticism (β = -0.33, P &lt; 0.001), and lower levels of the personality trait of  conscientiousness (β = 0.29, P &lt; 0.01), were associated with poorer adjustment to  vision loss, explaining 56% variance. CONCLUSIONS: Adjustment to vision loss is  significantly associated with depression and certain traits of personality  (specifically neuroticism and conscientiousness), independent of the severity of  vision loss, VRAL, and duration of vision loss. The results suggest certain  individuals may be predisposed to exhibiting less adjustment to vision loss due  to personality characteristics, and exhibit poorer adjustment owing to or as a  consequence of depression, rather than due to other factors such as the onset and  severity of visual impairment.</t>
  </si>
  <si>
    <t>PTL6V66J</t>
  </si>
  <si>
    <t>No accuracy/validation data</t>
  </si>
  <si>
    <t>Adjustment-to-vision-loss scale; not a vision screening tool</t>
  </si>
  <si>
    <t>Li, Shengnan et al.</t>
  </si>
  <si>
    <t>An Overview of Preferred Retinal Locus and Its Application in Biofeedback Training for Low-Vision Rehabilitation</t>
  </si>
  <si>
    <t>Seminars in Ophthalmology</t>
  </si>
  <si>
    <t>Central vision loss (CVL) caused by macular damage generally disables common daily tasks, which cannot be reversed by present treatments. Fortunately, it has been found that biofeedback training by inducing or reinforcing preferred retinal locus (PRL) as an eccentric fixation reference contributes to the improvement of visual performance in patients with CVL. However, the clinical application is still under controversy due to poor knowledge of its fundamental and inconsistent practical standards. This article aims to summarize the possible rationale for the development, location, re-location and evaluating indicators of PRL, and the general apparatus, protocol, and outcome of biofeedback PRL training.</t>
  </si>
  <si>
    <t>JA2GLWLX</t>
  </si>
  <si>
    <t>Review/opinion/editorial</t>
  </si>
  <si>
    <t>Narrative review of PRL biofeedback training</t>
  </si>
  <si>
    <t>Gothwal, Vijaya K. et al.</t>
  </si>
  <si>
    <t>Andhra Pradesh Eye Disease Study - Visual Function Questionnaire: further improvements in psychometric properties using Rasch analysis.</t>
  </si>
  <si>
    <t>Ophthalmic epidemiology</t>
  </si>
  <si>
    <t>PURPOSE: Previous Rasch analysis of the Andhra Pradesh Eye Disease Study-Visual Function Questionnaire (APEDS-VFQ) lacked comprehensiveness, specifically,  dimensionality (whether it measures single/multiple constructs). Therefore, using  the Rasch model this study provides a detailed assessment of psychometric  properties of the APEDS-VFQ. METHODS: A total of 351 visually impaired adults  (mean age, 43.3 years) were verbally administered the APEDS-VFQ. Rasch analysis  was used to assess the psychometric properties of the instrument. RESULTS:  Participants could distinguish only three categories of difficulty, so response  categories were reduced from five to three. A single item ("reading small prints  in newspaper/magazines", infit mean square 1.54) misfit the model. The overall  pattern of fit statistics for item and person measures suggested that the  underlying construct (visual ability) is not unidimensional. When the items were  grouped into subsets based on functional requirements (resolution, contrast  sensitivity, illumination and peripheral vision) and separate person measures  were estimated for each of these domains, the first principal component contained  the visual ability and accounted for 72% of the variance. Item measure  distributions could be divided into 18 strata, and item-separation reliability  was 0.99. Person measures could be divided into three statistically distinct  strata and the person-separation reliability was 0.81. CONCLUSIONS: The APEDS-VFQ  is a precise measure of visual ability in visually impaired adults in India.  Similar to other visual function questionnaires developed for the Western  population, our results demonstrate that visual ability is a two-factor composite  latent variable; one dimension heavily influences reading and the other most  heavily influences peripheral vision (mobility).</t>
  </si>
  <si>
    <t>4SF3BURR</t>
  </si>
  <si>
    <t>Maybe</t>
  </si>
  <si>
    <t>Rasch validation of a visual function questionnaire (APEDS-VFQ) in VI adults; possible for instrument table</t>
  </si>
  <si>
    <t>Lai, Krystal Y. et al.</t>
  </si>
  <si>
    <t>Assessment of Eye Disease and Visual Impairment in the Nursing Home Population Using Mobile Health Technology</t>
  </si>
  <si>
    <t>Ophthalmic Surgery, Lasers and Imaging Retina</t>
  </si>
  <si>
    <t>BACKGROUND AND OBJECTIVE:               To characterize the burden of eye disease and the utility of teleophthalmology in nursing home patients, a population with ophthalmic needs not commensurate with care received.                                         PATIENTS AND METHODS:               Informed consent was obtained from 78 California Bay Area skilled nursing facility patients. Near visual acuity (VA) and anterior/posterior segment photographs were taken with a smartphone-based VA app and ophthalmic camera system. The Nursing Home Vision-Targeted Health-Related Quality of Life questionnaire was also administered. Risk factors for visual impairment were assessed. Institutional review board approval was obtained from Stanford University.                                         RESULTS:                                Cataracts (51%), diabetic retinopathy (DR) (12%), optic neuropathy (12%), and age-related macular degeneration (AMD) (10%) were common findings; 11.7% had other referral-warranted findings. AMD and DR correlated with a higher risk of poor VA, with adjusted odds ratios of 22 (                 P                 = .01) and 43 (                 P                 = .004).                                                        CONCLUSIONS:               This study demonstrated a high prevalence of poor VA and ophthalmic disease in the nursing home population impacting quality of life. Smartphone-based teleophthalmology platforms have the potential to increase access to eye care for nursing home patients.                                                   [                   Ophthalmic Surg Lasers Imaging Retina.                   2020;51:262–270.]</t>
  </si>
  <si>
    <t>DZTRXQKR</t>
  </si>
  <si>
    <t>Teleophthalmology in nursing homes; questionnaire not validated against vision</t>
  </si>
  <si>
    <t>Alves, Cássia Cristiane De Freitas et al.</t>
  </si>
  <si>
    <t>Assistive technology applied to education of students with visual impairment</t>
  </si>
  <si>
    <t>Revista Panamericana de Salud Pública</t>
  </si>
  <si>
    <t>Objectives.Verify  the  application  of  assistive  technology,  especially  information  technol-ogy in the education of blind and low-vision students from the perceptions of their teachers.Methods.Descriptive survey study in public schools in three municipalities of the state ofSão Paulo, Brazil. The sample comprised 134 teachers.Results.According to the teachers’ opinions, there are differences in the specificities and ap-plicability of assistive technology for blind and low-vision students, for whom specific computerprograms are important. Information technology enhances reading and writing skills, as wellas communication with the world on an equal basis, thereby improving quality of life and facil-itating the learning process. The main reason for not using information technology is the lackof planning courses. The main requirements for the use of information technology in schools areenough computers for all students, advisers to help teachers, and pedagogical support.Conclusions.Assistive technology is applied to education of students with visual impair-ment;  however,  teachers  indicate  the  need  for  infrastructure  and  pedagogical  support.  Infor-mation technology is an important tool in the inclusion process and can promote independenceand autonomy of students with visual impairment.</t>
  </si>
  <si>
    <t>JXNHNL89</t>
  </si>
  <si>
    <t>Teachers of students with VI</t>
  </si>
  <si>
    <t>Zhu, Zhuoting et al.</t>
  </si>
  <si>
    <t>Association of visual impairment with risk for future Parkinson's disease.</t>
  </si>
  <si>
    <t>EClinicalMedicine</t>
  </si>
  <si>
    <t>BACKGROUND: Although visual dysfunction is one of the most common non-motor symptoms among patients with Parkinson's disease (PD), it is not known whether  visual impairment (VI) predates the onset of clinical PD. Therefore, we aim to  examine the association of VI with the future development of PD in the UK Biobank  Study. METHODS: The UK Biobank Study is one of the largest cohort studies of  health, enrolling over 500,000 participants aged 40-69 years between 2006 and  2010 across the UK. VI was defined as a habitual distance visual acuity (VA)  worse than 0·3 logarithm of the minimum angle of resolution (LogMAR) in the  better-seeing eye. Incident cases of PD were determined by self report data,  hospital admission records or death records, whichever came first. Multivariable  Cox proportional hazard regression models were used to investigate the  association between VI and the risk of incident PD. FINDINGS: A total of 117,050  participants were free of PD at the baseline assessment. During the median  observation period of 5·96 (IQR: 5·77-6·23) years, PD occurred in 222 (0·19%)  participants. Visually impaired participants were at a higher risk of developing  PD than non-VI participants (p &lt; 0·001). Compared with the non-VI group, the  adjusted hazard ratio was 2·28 (95% CI 1·29-4·05, p = 0·005) in the VI group.  These results were consistent in the sensitivity analysis, where incident PD  cases diagnosed within one year after the baseline assessment were excluded.  INTERPRETATION: This cohort study found that VI was associated with an increased  risk of incident PD, suggesting that VI may serve as a modifiable risk factor for  prevention of future PD.</t>
  </si>
  <si>
    <t>UQB6USLL</t>
  </si>
  <si>
    <t>Not about low vision/visual function</t>
  </si>
  <si>
    <t>VI as risk factor for Parkinson disease</t>
  </si>
  <si>
    <t>Chen, Xindi et al.</t>
  </si>
  <si>
    <t>Associations Between Visual Impairment and Homebound Status, Home Hazards, and Support Service Utilization: The National Health and Aging Trends Study</t>
  </si>
  <si>
    <t>American Journal of Ophthalmology</t>
  </si>
  <si>
    <t>Objective
To examine the association between visual impairment (VI) and (1) homebound status, (2) presence of home hazards, and (3) utilization of home-based long-term services and supports (LTSS) among older adults. Design: Longitudinal and cross-sectional analyses using National Health and Aging Trends Study (NHATS) data (2021–2023).
Subjects
A total of 3022 Medicare beneficiaries aged ≥71 years (mean age 78.8 years, 55.3% female) with complete data on homebound status and visual function.
Methods
VI was defined as impairment in distance visual acuity or near visual acuity (&lt;0.3 logMAR), or in contrast sensitivity (&lt;1.55 logCS). Homebound status was classified as homebound, semi-homebound, or non-homebound based on frequency and difficulty leaving home. Home hazards (peeling paint, broken furniture, flooring damage, and tripping hazards) were documented during in-home visits. LTSS utilization encompassed assistive devices, home modifications, transportation services, senior housing, meal delivery, paid care, and high-burden family caregiving. Regression models (logistic and Cox proportional hazards) assessed cross-sectional and longitudinal relationships between VI – its presence, severity, and rate of decline – and outcomes.
Main Outcome Measures
Presence or transition to homebound or semi-homebound status, presence of home safety hazards, and utilization of home-based LTSS.
Results
Among 3,022 participants (mean age 78.8 years, 55.3% female), 5.7% were homebound, and 14.4% semi-homebound. The presence of any VI was associated with a higher likelihood of both being (OR = 1.52, 95% CI: 1.17-1.98, P = .002) and becoming homebound or semi-homebound (HR = 1.35, 95% CI: 1.04-1.74, P = .02). Participants meeting all three VI criteria had an even higher risk (HR = 1.86, 95% CI: 1.35-2.58, P &lt; .001). Individuals with VI were more likely to have home hazards (OR = 1.88, 95% CI: 1.32-2.69, P = .001) and utilize home-based LTSS (OR = 1.35, 95% CI: 1.10-1.66, p = 0.005).
Conclusions
VI is a significant risk factor for being and becoming homebound in older adults, with increasing severity and breadth of VI compounding this risk. Individuals with VI also face greater home hazards and require more home-based LTSS, suggesting challenges maintaining home safety and functionality as they become more confined to the home. Early vision interventions, comprehensive home safety assessments, and targeted LTSS may be important preventive strategies for maintaining independence in visually impaired older adults.</t>
  </si>
  <si>
    <t>GZI4IKS9</t>
  </si>
  <si>
    <t>VI and homebound status; no screening questionnaire evaluated</t>
  </si>
  <si>
    <t>Qin, Jingshuang et al.</t>
  </si>
  <si>
    <t>Associations between cMIND diet, mold exposure, and visual impairment among older adults in China: a national cross-sectional study.</t>
  </si>
  <si>
    <t>Frontiers in nutrition</t>
  </si>
  <si>
    <t>BACKGROUND: Visual impairment poses a major challenge to healthy ageing, and its occurrence may be related to both dietary factors and the indoor environment.  However, evidence regarding the associations of the Chinese version of the  Mediterranean-Dietary Approaches to Stop Hypertension Intervention for  Neurodegenerative Delay (cMIND) diet and mold exposure with visual impairment  remains limited. METHODS: This study included 14031 participants aged ≥ 65 years  from the 2018 wave of the Chinese Longitudinal Healthy Longevity Survey (CLHLS).  The cMIND diet score was calculated based on a validated questionnaire, and mold  exposure was defined based on self-reported frequent perception of musty odors at  home. Visual impairment was defined based on responses to a visual function  assessment. We used multivariable logistic regression analyses to assess the  independent and joint associations of the cMIND diet and mold exposure with  visual impairment. RESULTS: Among the participants, the median age was 85.00  years, and 35.97% had visual impairment. For every 1-point increase in the cMIND  diet score, lower odds of visual impairment were observed (OR = 0.91, 95% CI:  0.88-0.94), whereas mold exposure was associated with higher odds (OR = 1.19, 95%  CI: 1.04-1.35). A linear inverse association was observed between the cMIND diet  score and visual impairment. Joint analysis showed the highest odds of visual  impairment among participants with both low cMIND diet scores and mold exposure  (OR = 1.68, 95% CI: 1.38-2.05). Findings were robust in sensitivity analyses.  CONCLUSION: Independent and joint associations of the cMIND diet and mold  exposure with visual impairment were observed among older adults, highlighting  the potential importance of dietary and indoor environmental factors for visual  health.</t>
  </si>
  <si>
    <t>RVL4ARNG</t>
  </si>
  <si>
    <t>Diet and mould exposure as VI risk factors</t>
  </si>
  <si>
    <t>Langer, Sarah et al.</t>
  </si>
  <si>
    <t>Barrier-Free Dissemination of Medical Knowledge: Challenges and Solutions for Individuals with Visual Impairments</t>
  </si>
  <si>
    <t>Responsive and Sustainable Educational Futures</t>
  </si>
  <si>
    <t>Visual impairments affect 60% of adults, 8% of whom suffer from color vision deficiencies. Furthermore, contrast sensitivity decreases with age. Accordingly, teaching and training materials must be adapted to these needs. Thus, a web-moodle course with medical content developed internally was used. The aim was to check whether this course is suitable for people with reduced color contrast sensitivity or color vision deficiencies. Furthermore, the usability was tested. For this purpose, 44 participants answered out a questionnaire. This showed that the preferred learning formats were videos and pictures, with drawn pictures being preferred. For checking knowledge, memory cards and self-checks are the preferred choices. The laptop/PC (66%) clearly emerges as the increasingly preferred end device. The verification of color contrast was done through an open-source website. It can be seen that the color works well only in selected combinations. When reviewing possible difficulties related to color vision deficiencies, some problems came to light. For example, a link with a monochromaticity would not be recognized.</t>
  </si>
  <si>
    <t>Y252BXL2</t>
  </si>
  <si>
    <t>Accessibility of e-learning materials</t>
  </si>
  <si>
    <t>Goldstein, Judith E. et al.</t>
  </si>
  <si>
    <t>Baseline traits of low vision patients served by private outpatient clinical centers in the United States.</t>
  </si>
  <si>
    <t>Archives of ophthalmology (Chicago, Ill. : 1960)</t>
  </si>
  <si>
    <t>OBJECTIVE: To characterize the traits of low vision patients who seek outpatient low vision rehabilitation (LVR) services in the United States. METHODS: In a  prospective observational study, we enrolled 764 new low vision patients seeking  outpatient LVR services from 28 clinical centers in the United States. Before  their initial appointment, multiple questionnaires assessing daily living and  vision, physical, psychological, and cognitive health states were administered by  telephone. Baseline clinical visual impairment measures and disorder diagnoses  were recorded. RESULTS: Patients had a median age of 77 years, were primarily  female (66%), and had macular disease (55%), most of which was nonneovascular  age-related macular degeneration. More than one-third of the patients (37%) had  mild vision impairment with habitual visual acuity (VA) of 20/60 or greater. The  VA correlated well with contrast sensitivity (r = -0.52) but poorly with  self-reported vision quality. The intake survey revealed self-reported physical  health limitations, including decreased endurance (68%) and mobility problems  (52%). Many patients reported increased levels of frustration (42%) and depressed  mood (22%); memory and cognitive impairment (11%) were less frequently endorsed.  Patients relied on others for daily living support (87%), but many (31%) still  drove. CONCLUSIONS: Most patients seeking LVR are geriatric and have macular  disease with relatively preserved VA. The disparity between VA and subjective  quality of vision suggests that LVR referrals are based on symptoms rather than  on VA alone. Patients seen for LVR services have significant physical,  psychological, and cognitive disorders that can amplify vision disabilities and  decrease rehabilitation potential.</t>
  </si>
  <si>
    <t>CHNBSJMF</t>
  </si>
  <si>
    <t>LVR patients: acuity correlated poorly with self-reported vision; context on who presents for LVR</t>
  </si>
  <si>
    <t>Crossland, Michael D. et al.</t>
  </si>
  <si>
    <t>Benefit of an electronic head-mounted low vision aid.</t>
  </si>
  <si>
    <t>Ophthalmic &amp; physiological optics : the journal of the British College of Ophthalmic Opticians (Optometrists)</t>
  </si>
  <si>
    <t>PURPOSE: To evaluate the efficacy of electronic head-mounted low vision aid (e-LVA) SightPlus (GiveVision, UK, givevision.net) and to determine which people  with low vision would see themselves likely using an e-LVA like this. METHODS:  Sixty participants with low vision aged 18 to 93 used SightPlus during an  in-clinic study session based on a mixed methods design. Visual acuity (ETDRS),  contrast sensitivity (Pelli-Robson) and reading performance (MNREAD) were  measured binocularly at baseline (no device), with the device in 'normal' mode  (zoom only), and with preferred enhanced mode (zoom and one of four digital image  enhancements). At the end of the session, a short questionnaire recorded  willingness to use an e-LVA like SightPlus, potential use cases,  positive/negative comments and adverse effects. RESULTS: Binocular distance  visual acuity improved significantly by 0.63 logMAR on average (p &lt; 0.0001) to  0.20 logMAR. Contrast sensitivity improved significantly by 0.22 log units  (p &lt; 0.0001) to 1.21 log units with zoom only and by 0.40 log units to 1.37 log  units with zoom and preferred image enhancement. Reading performance improved  significantly for near visual acuity and critical print size (p &lt; 0.015),  although reading speed significantly decreased (p &lt; 0.0001). Nearly half (47%) of  the participants indicated they would use an e-LVA like SightPlus, especially for  television, reading and entertainment (e.g. theatre). Multivariate logistic  regression showed that proportion of lifetime affected by sight loss, baseline  contrast sensitivity and use of electronic LVAs explained 41% of the variation in  willingness to use. CONCLUSIONS: SightPlus improves visual function in people  with low vision and would be used in its current form by one half of the people  who tried it. Adverse effects were infrequent and resolved when the device was  removed. Future work should focus on comparing e-LVAs through repeatable  real-world tasks and impact on quality of life.</t>
  </si>
  <si>
    <t>TXBYLKM8</t>
  </si>
  <si>
    <t>Electronic head-mounted low vision aid</t>
  </si>
  <si>
    <t>Verdina, Tommaso et al.</t>
  </si>
  <si>
    <t>Biofeedback Low Vision Rehabilitation with Retimax Vision Trainer in Patients with Advanced Age-related Macular Degeneration: A Pilot Study.</t>
  </si>
  <si>
    <t>No link</t>
  </si>
  <si>
    <t>PURPOSE: To evaluate the effectiveness of Visual Evoked Potential (VEP) biofeedback rehabilitation in selected low vision patients with advanced  age-related macular degeneration (AMD). DESIGN: Retrospective observational  cohort study. METHODS: Patients affected by advanced AMD, central macular atrophy  with unstable fixation and best corrected visual acuity (BCVA) between 20/100 and  20/320 were considered. Selected patients underwent fundus photography and  microperimetry with fixation analysis for the selected eye (highest BCVA). Ten  consecutive training sessions of 10 min each were performed twice a week in the  selected eye with Retimax Vision Trainer (CSO, Florence). BCVA, reading acuity  and reading speed, contrast sensitivity, fixation, retinal sensitivity and  quality of life questionnaire (VFQ-25) were evaluated at baseline and 7 days  following the final session. RESULTS: Significant improvements in terms of BCVA  [p = .011], reading speed [p = .007], VFQ-25 score [p = .007], retinal  sensitivity [p = .021] and fixation stability in the central 2° and 4° [p = .048;  p = .037] post-treatment were observed for the 9 patients enrolled, with  insignificant improvements observed in reading acuity and contrast sensitivity [p  = .335; p = .291]. CONCLUSIONS: Preliminary results support VEP biofeedback  rehabilitation improvements for visual function and quality of life in advanced  AMD patients with low vision.</t>
  </si>
  <si>
    <t>5BAD379W</t>
  </si>
  <si>
    <t>Biofeedback rehabilitation in AMD</t>
  </si>
  <si>
    <t>Ortibus, Els et al.</t>
  </si>
  <si>
    <t>Cerebral Visual Impairment and Clinical Assessment: The European Perspective</t>
  </si>
  <si>
    <t>Seminars in Pediatric Neurology</t>
  </si>
  <si>
    <t>This paper summarizes the multidisciplinary pediatric assessment methods of 3 European centers for identifying and assessing cerebral visual impairment in childhood. It describes a comprehensive neurodevelopmental assessment evaluation in which visual aspects play an important part. Developmental trajectories and the heterogeneity of the clinical picture are emphasized. Multidisciplinary ophthalmology and neurodisability/neurology teamwork together with the parent and teachers, to reach an integrated and individualized perspective for the individual child, are described. This comprehensive assessment is the starting point for habilitation programs and interventions, that can support and meet the child's needs and help them reach their optimal potential. Future developments in classification of the cerebral visual impairment conditions, building on the child's individual assessment profile, will further enhance the direction of clinical, educational, and research progress.</t>
  </si>
  <si>
    <t>4PQD653L</t>
  </si>
  <si>
    <t>Paediatric cerebral visual impairment</t>
  </si>
  <si>
    <t>Kaleem, Mona A. et al.</t>
  </si>
  <si>
    <t>Characteristics of Glaucoma Patients Attending a Vision Rehabilitation Service.</t>
  </si>
  <si>
    <t>Ophthalmology. Glaucoma</t>
  </si>
  <si>
    <t>PURPOSE: In this study, we describe common demographic and clinical characteristics of the glaucoma patient population attending vision  rehabilitation. DESIGN: Cross-sectional study. PARTICIPANTS: Patients attending a  hospital-based vision rehabilitation center with a primary ocular diagnosis of  glaucoma. METHODS: Participants' charts were retrospectively reviewed. Data  extracted from medical records included demographics, referring physician, ocular  history, glaucoma diagnosis, past ocular surgery, intraocular pressure, optic  nerve findings, results of a functional intake assessing activities of daily  living, depression, visual hallucinations, best-corrected visual acuity (BCVA),  mean deviation (MD) scores on visual field testing, and log contrast sensitivity  (CS). MAIN OUTCOME MEASURES: Participant demographic information, ocular history,  self-reported difficulty with activities of daily living, depression, visual  hallucinations, BCVA, visual field, and CS. RESULTS: The mean age of patients in  this study was 77 years and ranged from 8 to 103 years. Ninety percent of  patients were referred to vision rehabilitation by an ophthalmologist. Median  BCVA was 20/50. Fifty-five percent of patients were functionally monocular, and  for all patients, there was a median 9-line difference in BCVA between eyes.  Median MD score was -13.95 decibels (dB). Median CS was 1.05. Patients reported  having the greatest difficulty with reading (88%), writing (72%), and mobility  (67%). Seventy-eight percent of patients stopped driving, and 12% reported  difficulty driving. Among those experiencing depression, there was a 4:1 ratio of  depressed patients having difficulty with mobility. One-third of patients  experienced visual hallucinations. CONCLUSIONS: Most glaucoma patients attending  vision rehabilitation are not legally blind, but many are functionally monocular.  This may cause greater difficulty performing functions that require the use of  binocularity. Increasing the referral of younger glaucoma patients to vision  rehabilitation may help patients learn to cope with the loss of visual function  that occurs over time.</t>
  </si>
  <si>
    <t>4RZWCV9U</t>
  </si>
  <si>
    <t>Glaucoma patients attending vision rehabilitation; self-reported difficulties, VA, VF, CS; key glaucoma context</t>
  </si>
  <si>
    <t>Gobeille, Micaela et al.</t>
  </si>
  <si>
    <t>Clinical outcomes of low vision rehabilitation delivered by a mobile clinic</t>
  </si>
  <si>
    <t>Ophthalmic and Physiological Optics</t>
  </si>
  <si>
    <t>Abstract                            Purpose               This prospective cohort study examined clinical outcomes of low vision rehabilitation (LVR) delivered by a mobile clinic.                                         Methods                                Participants were recruited from those scheduled for mobile clinic                 LVR                 and met the United States definition of legal blindness. Participants completed the Massof Activity Inventory (                 AI                 ) before                 LVR                 , 3 months post‐                 LVR                 , and 1 year post‐                 LVR                 . Change scores and measures of clinical effect (i.e. Cohen's effect size and minimum clinically important difference,                 MCID                 ) were calculated for each time point and compared. Additional participant characteristics (age, acuity, contrast sensitivity, cause of visual impairment, training recommendations, and prior                 LVR                 experience) were also explored with respect to outcome measures.                                                        Results                                Of the 66 participants enroled in this study, 47% had no prior                 LVR                 experience. Significant differences were noted between baseline and 3‐month person measures, and between baseline and 1‐year person measures. There was no significant difference between 3‐month and 1‐year person measures, nor was there a significant difference in change score between these two time points. At 1 year post‐                 LVR                 , overall visual ability effect size was 0.74. A clinically meaningful outcome was achieved in 56% of participants at 3 months and 71% at 1 year for overall visual ability. There was no significant difference in the proportion of participants achieving                 MCID                 at 3 months vs 1 year. Of participants who completed the 1‐year post‐                 LVR AI                 , 59% reported a subjective worsening of vision during the study period. This subgroup also tended to have smaller 1‐year change scores.                                                        Conclusions                                Mobile clinic                 LVR                 is effective at expanding access to care and produces clinically meaningful outcomes comparable to those seen in other outpatient                 LVR                 delivery models.</t>
  </si>
  <si>
    <t>UEHJDMXG</t>
  </si>
  <si>
    <t>LVR outcomes of a mobile clinic</t>
  </si>
  <si>
    <t>Clinically Meaningful Rehabilitation Outcomes of Low Vision Patients Served by Outpatient Clinical Centers.</t>
  </si>
  <si>
    <t>JAMA ophthalmology</t>
  </si>
  <si>
    <t>IMPORTANCE: To facilitate comparative clinical outcome research in low vision rehabilitation, we must use patient-centered measurements that reflect clinically  meaningful changes in visual ability. OBJECTIVE: To quantify the effects of  currently provided low vision rehabilitation (LVR) on patients who present for  outpatient LVR services in the United States. DESIGN, SETTING, AND PARTICIPANTS:  Prospective, observational study of new patients seeking outpatient LVR services.  From April 2008 through May 2011, 779 patients from 28 clinical centers in the  United States were enrolled in the Low Vision Rehabilitation Outcomes Study. The  Activity Inventory, a visual function questionnaire, was administered to measure  overall visual ability and visual ability in 4 functional domains (reading,  mobility, visual motor function, and visual information processing) at baseline  and 6 to 9 months after usual LVR care. The Geriatric Depression Scale, Telephone  Interview for Cognitive Status, and Medical Outcomes Study 36-Item Short-Form  Health Survey physical functioning questionnaires were also administered to  measure patients' psychological, cognitive, and physical health states,  respectively, and clinical findings of patients were provided by study centers.  MAIN OUTCOMES AND MEASURES: Mean changes in the study population and minimum  clinically important differences in the individual in overall visual ability and  in visual ability in 4 functional domains as measured by the Activity Inventory.  RESULTS: Baseline and post-rehabilitation measures were obtained for 468  patients. Minimum clinically important differences (95% CIs) were observed in  nearly half (47% [95% CI, 44%-50%]) of patients in overall visual ability. The  prevalence rates of patients with minimum clinically important differences in  visual ability in functional domains were reading (44% [95% CI, 42%-48%]), visual  motor function (38% [95% CI, 36%-42%]), visual information processing (33% [95%  CI, 31%-37%]), and mobility (27% [95% CI, 25%-31%]). The largest average effect  size (Cohen d = 0.87) for the population was observed in overall visual ability.  Age (P = .006) was an independent predictor of changes in overall visual ability,  and logMAR visual acuity (P = .002) was predictive of changes in visual  information processing. CONCLUSIONS AND RELEVANCE: Forty-four to fifty percent of  patients presenting for outpatient LVR show clinically meaningful differences in  overall visual ability after LVR, and the average effect sizes in overall visual  ability are large, close to 1 SD.</t>
  </si>
  <si>
    <t>5W89FPU6</t>
  </si>
  <si>
    <t>LVR outcomes (LVROS) with Activity Inventory</t>
  </si>
  <si>
    <t>Dreer, Laura E. et al.</t>
  </si>
  <si>
    <t>Cognitive appraisals, distress and disability among persons in low vision rehabilitation.</t>
  </si>
  <si>
    <t>British journal of health psychology</t>
  </si>
  <si>
    <t>OBJECTIVE: Examined cognitive appraisals of interference and tolerance in the prediction of distress and self-reported disability among persons presenting for  low vision rehabilitation. DESIGN: Cross-sectional; correlational and path  analyses. METHODS: One-hundred and thirteen patients (mean age, 71 years; 52 men  and 61 women) presenting for low vision rehabilitation at a university-based  centre for low vision rehabilitation participated in an initial clinical vision  examination and completed several questionnaires to evaluate cognitive  appraisals, emotional distress and self-reported disability. RESULTS: Path  analyses indicated that greater tolerance was associated with less interference  imposed by vision loss. Greater tolerance was also associated with less emotional  distress and symptom severity (visual acuity) was associated with self-reported  disability. Cognitive appraisals (tolerance and interference) indirectly  influenced self-reported disability through emotional distress. CONCLUSIONS: The  data indicate that appraisals of personal ability to tolerate vision loss and the  perceived interference of vision loss on goal-directed behaviour and expected  activities have greater influence on distress and are subsequently predictive of  disability in comparison with objective symptoms (visual acuity). Implications  for clinical interventions and further research are discussed.</t>
  </si>
  <si>
    <t>ZW7C6B6U</t>
  </si>
  <si>
    <t>Cognitive appraisals and distress; not a screening tool</t>
  </si>
  <si>
    <t>Şahlı, Esra et al.</t>
  </si>
  <si>
    <t>Common Approach to Low Vision: Examination and Rehabilitation of the Patient with Low Vision</t>
  </si>
  <si>
    <t>Turkish Journal of Ophthalmology</t>
  </si>
  <si>
    <t>Due to the increasing age of the global population, rates of visual disability are increasing. Visual rehabilitation is an effective method for increasing quality of life among individuals with low vision or blindness due to unpreventable or untreatable causes. The goal of low vision rehabilitation is to produce people who are independent, have an economically viable profession or skill, and are able to enjoy their lives. The stages of modern low vision rehabilitation include the intake interview, assessment of residual visual functions, assessment of residual functional vision, interventions and recommendations, and vision rehabilitation therapies.
Keywords:
Low vision, low vision rehabilitation, assessment of residual visual functions, assessment of residual functional vision, low vision aids</t>
  </si>
  <si>
    <t>EUSKKIZG</t>
  </si>
  <si>
    <t>Narrative review of LV examination and rehabilitation; useful background</t>
  </si>
  <si>
    <t>Clarke, Emily L. et al.</t>
  </si>
  <si>
    <t>Community screening for visual impairment in older people.</t>
  </si>
  <si>
    <t>The Cochrane database of systematic reviews</t>
  </si>
  <si>
    <t>BACKGROUND: Visual problems in older people are common and frequently under-reported. The effects of poor vision in older people are wide reaching and  include falls, confusion and reduced quality of life. Much of the visual  impairment in older ages can be treated (e.g. cataract surgery, correction of  refractive error). Vision screening may therefore reduce the number of older  people living with sight loss. OBJECTIVES: The objective of this review was to  assess the effects on vision of community vision screening of older people for  visual impairment. SEARCH METHODS: We searched the Cochrane Central Register of  Controlled Trials (CENTRAL) (which contains the Cochrane Eyes and Vision Trials  Register) (2017, Issue 10); Ovid MEDLINE; Ovid Embase; the ISRCTN registry;  ClinicalTrials.gov and the ICTRP. The date of the search was 23 November 2017.  SELECTION CRITERIA: We included randomised controlled trials (RCTs) that compared  vision screening alone or as part of a multi-component screening package as  compared to no vision screening or standard care, on the vision of people aged 65  years or over in a community setting. We included trials that used self-reported  visual problems or visual acuity testing as the screening tool. DATA COLLECTION  AND ANALYSIS: We used standard methods expected by Cochrane. We graded the  certainty of the evidence using GRADE. MAIN RESULTS: Visual outcome data were  available for 10,608 people in 10 trials. Four trials took place in the UK, two  in Australia, two in the United States and two in the Netherlands. Length of  follow-up ranged from one to five years. Three of these studies were  cluster-randomised trials whereby general practitioners or family physicians were  randomly allocated to undertake vision screening or no vision screening. All  studies were funded by government agencies. Overall we judged the studies to be  at low risk of bias and only downgraded the certainty of the evidence (GRADE) for  imprecision.Seven trials compared vision screening as part of a multi-component  screening versus no screening. Six of these studies used self-reported vision as  both screening tool and outcome measure, but did not directly measure vision. One  study used a combination of self-reported vision and visual acuity measurement:  participants reporting vision problems at screening were treated by the attending  doctor, referred to an eye care specialist or given information about resources  that were available to assist with poor vision. There was a similar risk of "not  seeing well" at follow-up in people screened compared with people not screened in  meta-analysis of six studies (risk ratio (RR) 1.05, 95% confidence interval (CI)  0.97 to 1.14, 4522 participants high-certainty evidence). One trial reported  "improvement in vision" and this occurred slightly less frequently in the  screened group (RR 0.85, 95% CI 0.52 to 1.40, 230 participants,  moderate-certainty evidence).Two trials compared vision screening (visual acuity  testing) alone with no vision screening. In one study, distance visual acuity was  similar in the two groups at follow-up (mean difference (MD) 0.02 logMAR, 95% CI  -0.02 to 0.05, 532 participants, high-certainty evidence). There was also little  difference in near acuity (MD 0.02 logMAR, 95% CI -0.03 to 0.07, 532  participants, high-certainty evidence). There was no evidence of any important  difference in quality of life (MD -0.06 National Eye Institute 25-item visual  function questionnaire (VFQ-25) score adjusted for baseline VFQ-25 score, 95% CI  -2.3 to 1.1, 532 participants, high-certainty evidence). The other study could  not be included in the data analysis as the number of participants in each of the  arms at follow-up could not be determined. However the authors stated that there  was no significant difference in mean visual acuity in participants who had  visual acuity assessed at baseline (39 letters) as compared to those who did not  have their visual acuity assessed (35 letters, P = 0.25, 121 participants).One  trial compared a detailed health assessment including measurement of visual  acuity (intervention) with a brief health assessment including one question about  vision (standard care). People given the detailed health assessment had a similar  risk of visual impairment (visual acuity worse than 6/18 in either eye) at  follow-up compared with people given the brief assessment (RR 1.07, 95% CI 0.84  to 1.36, 1807 participants, moderate-certainty evidence). The mean composite  score of the VFQ-25 was 86.0 in the group that underwent visual acuity screening  compared with 85.6 in the standard care group, a difference of 0.40 (95% CI -1.70  to 2.50, 1807 participants, high-certainty evidence). AUTHORS' CONCLUSIONS: The  evidence from RCTs undertaken to date does not support vision screening for older  people living independently in a community setting, whether in isolation or as  part of a multi-component screening package. This is true for screening  programmes involving questions about visual problems, or direct measurements of  visual acuity.The most likely reason for this negative review is that the  populations within the trials often did not take up the offered intervention as a  result of the vision screening and large proportions of those who did not have  vision screening appeared to seek their own intervention. Also, trials that use  questions about vision have a lower sensitivity and specificity than formal  visual acuity testing. Given the importance of visual impairment among older  people, further research into strategies to improve vision of older people is  needed. The effectiveness of an optimised primary care-based screening  intervention that overcomes possible factors contributing to the observed lack of  benefit in trials to date warrants assessment; trials should consider including  more dependent participants, rather than those living independently in the  community.</t>
  </si>
  <si>
    <t>BE8DRTGE</t>
  </si>
  <si>
    <t>Cochrane review of community vision screening in older people, incl. self-reported visual problems as screening tool</t>
  </si>
  <si>
    <t>Claesson, Lisbeth et al.</t>
  </si>
  <si>
    <t>Comparison of visual acuity charts identifying visual impairment among older people outside the eye clinic</t>
  </si>
  <si>
    <t>Disability and Rehabilitation</t>
  </si>
  <si>
    <t>Purpose: Evaluate the construct validity and describe sensitivity, specificity and predictive value of two short charts of visual acuity (VA) and examine whether these can identify and detect signs of visual impairment among older people. Method: The study included 43 persons, &gt;65 years, with age related eye disease, living in their own homes. An ophthalmologist assessed the individuals’ VA at an eye clinic with the 5 m KM chart. A research assistant assessed individuals’ VA by the 1 m KM chart and the Visual Acuity Screening Test in their home environment. Results: All persons with a VA level of &lt;0.5 were correctly identified by both instruments. The instruments have good positive and negative predictive values for the 1 m KM chart (73% and 100%) and for the Visual Acuity Screening Test (69% and 100%). The construct validity between the instruments was good, but the assessment at the eye clinic assessed the participants as having higher VA level. Conclusions: Both instruments have good construct validity, considering they were carried out in poorer lighting conditions and a good predictive value for screening out VA levels &lt;0.5. The 1 m KM chart showed the best agreement with the 5 m KM chart.</t>
  </si>
  <si>
    <t>MAQLIQ92</t>
  </si>
  <si>
    <t>Acuity charts, not self-report questions</t>
  </si>
  <si>
    <t>Potter, Taylor et al.</t>
  </si>
  <si>
    <t>Concordance between Self-Reported Visual Difficulty and Objective Visual Impairment: The National Health and Aging Trends Study.</t>
  </si>
  <si>
    <t>Ophthalmology</t>
  </si>
  <si>
    <t>PURPOSE: To examine the performance of self-reported visual difficulty (VD) in predicting objective visual impairment (VI) in older adults and explore factors  that influence discordance. DESIGN: Cross-sectional analysis of the National  Health and Aging Trends Study (2022). METHODS: Participants reporting blindness  or difficulties with distance or near vision were characterized as having VD.  Presenting binocular distance visual acuity (VA), near VA, and contrast  sensitivity (CS) were assessed. Objective VI was defined as having VI in distance  VA (worse than 20/40), near VA (worse than 20/40), or CS (worse than 1.55 logCS).  Receiver operating characteristic analysis was used to compare performance of VD  in predicting VI. To investigate factors that influence discordance, we limited  our sample to adults with VI and used a multivariable logistic regression model  to identify factors associated with not reporting VD. Similar analyses were  performed to explore factors associated with reporting VD in adults without VI.  MAIN OUTCOME MEASURES: Discordance factors. RESULTS: Four thousand nine hundred  ninety-nine adults were included in the 2022 cohort. Visual difficulty achieved  an area under the curve (AUC) of 56.0 (95% confidence interval [CI], 55.2-56.9)  in predicting VI, with a sensitivity of 15.8 (95% CI, 14.2-17.5) and specificity  of 96.3 (95% CI, 95.5-96.9). Characteristics associated with not reporting VD in  adults with VI included female gender (odds ratio [OR], 0.64 [95% CI,  0.42-0.99]), Hispanic ethnicity (OR, 0.49 [95% CI, 0.31-0.78), higher income  (≥75 000, OR, 1.99 [95% CI, 1.14-3.45]), ≥4 comorbidities (OR, 0.46 [95% CI,  0.29-0.72]), and depressive symptoms (OR, 0.49 [95% CI, 0.25-0.93]). Factors  associated with self-reporting VD in the absence of VI included Hispanic  ethnicity (OR, 2.11 [95% CI, 1.15-3.86]), higher income (≥$75 000, OR, 0.27 [95%  CI, 0.12-0.63]), and anxiety symptoms (OR, 3.05 [95% CI, 1.56-5.97]).  CONCLUSIONS: Self-reported VD is a distinct measure assessing disability and has  limited ability in predicting objective VI. Caution is advised when using  self-reported VD as a surrogate measure for objective VI in epidemiological  studies, although it may still be an effective way to capture risk of current or  future disability. FINANCIAL DISCLOSURE(S): Proprietary or commercial disclosure  may be found after the references.</t>
  </si>
  <si>
    <t>5DTUIAAZ</t>
  </si>
  <si>
    <t>Self-reported visual difficulty vs measured VI (NHATS): AUC 0.56, sens 15.8%; key accuracy evidence</t>
  </si>
  <si>
    <t>Hernández-Moreno, Laura et al.</t>
  </si>
  <si>
    <t>Cost-effectiveness of basic vision rehabilitation (The basic VRS-effect study): study protocol for a randomised controlled trial.</t>
  </si>
  <si>
    <t>PURPOSE: To investigate the cost-effectiveness of a basic vision rehabilitation service (basic-VRS) in Portugal. We designed a parallel group, randomised  controlled trial whose aim is to compare the effects and costs of 'usual low  vision care' with a 'basic-VRS intervention' on self-reported visual ability and  other psychosocial and health-related quality-of-life outcomes. METHODS: The  trial will recruit participants that meet the following inclusion criteria: (1)  visual acuity between 0.4-1.0 logMAR in the better-seeing eye, (2) cause of  vision loss is diabetic retinopathy or age-related macular degeneration, (3)  18 years or older and iv) live in the community (not in nursing homes or other  type of institution). Participants will be randomised to one of the study arms  consisting of immediate intervention and delayed intervention. The delayed  intervention group will receive 'usual care' or no intervention in the first  12 weeks. Visual acuity, contrast sensitivity and retinal structure will be  assessed during the study. RESULTS: The primary outcome measure is visual  ability, which will be evaluated with the Massof Activity Inventory, we expect  that the intervention will raise the overall person measure or visual ability.  Reading, health-related quality-of-life, anxiety and depression and social  support will be also assessed. The analysis will be undertaken on an  intention-to-treat basis. A cost-effectiveness analysis will be performed to  provide information about the cost per unit of utility. To evaluate the  cost-effectiveness of the intervention we will adopt the perspective of the  healthcare system. CONCLUSION: This study will provide additional evidence about  the effects of basic-VRS on self-reported visual ability. Findings from this  study should also contribute to better planning of low vision provision and,  consequently, may contribute to reduce barriers to basic-VRS.</t>
  </si>
  <si>
    <t>W5XI6MYZ</t>
  </si>
  <si>
    <t>RCT protocol of basic vision rehabilitation service</t>
  </si>
  <si>
    <t>Holloway, Edith E. et al.</t>
  </si>
  <si>
    <t>Depression screening among older adults attending low-vision rehabilitation and eye-care services: Characteristics of those who screen positive and client  acceptability of screening.</t>
  </si>
  <si>
    <t>Australasian journal on ageing</t>
  </si>
  <si>
    <t>AIM: To investigate characteristics associated with screening positive for depressive symptoms among older adults accessing low-vision rehabilitation and  eye-care services and to determine client acceptability of depression screening  using the Patient Health Questionnaire-2 (PHQ-2) in these settings. METHODS:  One-hundred and twenty-four older adults (mean = 77.02 years, SD = 9.12)  attending low-vision rehabilitation and eye-care services across Australia were  screened for depression and invited to complete a telephone-administered  questionnaire to determine characteristics associated with depressive symptoms  and client acceptability of screening in these settings. RESULTS: Thirty-seven  per cent (n = 46/124) of participants screened positive for depressive symptoms,  and the majority considered the new depression screening method to be a 'good  idea' in vision services (85%). Severe vision loss (&lt;6/60 in the better eye) was  associated with an increased odds of screening positive for depressive symptoms  (odds ratio 2.37; 95% confidence interval 1.08-6.70) even after adjusting for  potential confounders. Participants who screened positive had a preference for  'talking' therapy or a combination of medication and 'talking therapy' delivered  within their own home (73%) or via telephone (67%). CONCLUSION: The PHQ-2 appears  to be an acceptable method for depression screening in eye-care settings among  older adults. Targeted interventions that incorporate home-based or telephone  delivered therapy sessions may improve outcomes for depression in this group.</t>
  </si>
  <si>
    <t>IHSIVY24</t>
  </si>
  <si>
    <t>Depression screening in LV services</t>
  </si>
  <si>
    <t>Wolffsohn, James S et al.</t>
  </si>
  <si>
    <t>Design of the low vision quality-of-life questionnaire (LVQOL) and measuring the outcome of low-vision rehabilitation</t>
  </si>
  <si>
    <t>PURPOSE: To design and validate a vision-specific quality-of-life assessment tool to be used in a clinical setting to evaluate low-vision rehabilitation strategy and management.
METHODS: Previous vision-related questionnaires were assessed by low-vision rehabilitation professionals and patients for relevance and coverage. The 74 items selected were pretested to ensure correct interpretation. One hundred and fifty patients with low vision completed the chosen questions on four occasions to allow the selection of the most appropriate items. The vision-specific quality of life of patients with low vision was compared with that of 70 age-matched and gender-matched patients with normal vision and before and after low-vision rehabilitation in 278 patients.
RESULTS: Items that were unreliable, internally inconsistent, redundant, or not relevant were excluded, resulting in the 25-item Low Vision Quality-of-Life Questionnaire (LVQOL). Completion of the LVQOL results in a summed score between 0 (a low quality of life) and 125 (a high quality of life). The LVQOL has a high internal consistency (α = 0.88) and good reliability (0.72). The average LVQOL score for a population with low vision (60.9 ± 25.1) was significantly lower than the average score of those with normal vision (100.3 ± 20.8). Rehabilitation improved the LVQOL score of those with low vision by an average of 6.8 ± 15.6 (17%).
CONCLUSIONS: The LVQOL was shown to be an internally consistent, reliable, and fast method for measuring the vision-specific quality of life of the visually impaired in a clinical setting. It is able to quantify the quality of life of those with low vision and is useful in determining the effects of low-vision rehabilitation.</t>
  </si>
  <si>
    <t>7X7CGTB8</t>
  </si>
  <si>
    <t>Development/validation of LVQOL questionnaire for LVR; instrument table</t>
  </si>
  <si>
    <t>Labreche, Tammy et al.</t>
  </si>
  <si>
    <t>Development and validation of Visual Impairment as a Risk for Falls Questionnaire.</t>
  </si>
  <si>
    <t>Age and ageing</t>
  </si>
  <si>
    <t>PURPOSE: visual impairment is associated with an increased risk of falls, yet eye care professionals are infrequently members of falls prevention clinics. The aim  of this preliminary study was to validate a newly created Visual Impairment as a  Risk for Falls Questionnaire intended to be used by those professionals not  involved in eye care. METHODS: about 53 participants with various visual  impairments known to be associated with falls and 33 participants with normal  sight were contacted within 4 months of a full oculo-visual assessment and were  asked the questions from the current questionnaire pertaining to their visual  function. A retrospective file review was undertaken and the sensitivity and  specificity of participants' responses were calculated compared to the actual  vision impairment based on the findings from their visual assessment. RESULTS:  the question regarding ability to read was included to identify people with  central vision loss, a risk factor for falling. It was found to have sensitivity  of 74% and specificity of 87%. Both sensitivity and specificity improved when  participants with cognitive impairment were excluded. The question on recognising  facial features gave sensitivity of 73% and specificity of 97% for this subgroup.  However, questions related to impairments in stereopsis and peripheral fields  were not useful. CONCLUSION: the study demonstrates that several questions of the  new questionnaire are useful; however, further testing with a larger population  is needed to fully validate the questionnaire for use by health care  professionals.</t>
  </si>
  <si>
    <t>W3TXTZD9</t>
  </si>
  <si>
    <t>Visual Impairment as Risk for Falls Questionnaire: sensitivity/specificity of vision questions vs examination</t>
  </si>
  <si>
    <t>Zhang, Ri-Yan et al.</t>
  </si>
  <si>
    <t>Development and validation of a logistic regression model for predicting visual impairment in middle-aged and older adults with diabetes: results from the China  Health and Retirement Longitudinal Study.</t>
  </si>
  <si>
    <t>International journal of ophthalmology</t>
  </si>
  <si>
    <t>AIM: To develop and validate a clinician-friendly logistic regression prediction model for self-reported visual impairment (VI) in middle-aged and older adults  (≥45y) with diabetes. METHODS: Leveraging data from the China Health and  Retirement Longitudinal Study (CHARLS), a model for VI among adults aged ≥45y  with diabetes were developed. Feature selection involved LASSO regression and  subsequent multivariable logistic regression. Eight machine learning algorithms  were explored and compared for predictive performance. Logistic regression for  its consistent performance, interpretability, and clinical usability was finally  selected. A nomogram and interactive web-based tool were constructed to  facilitate application. RESULTS: Totally 1918 participants (45.83% males) in  CHARLS 2011 with aged ≥45y were analyzed in the training cohort and 1553 in  CHARLS 2015 were in validation cohort. Among all participants in the training  cohort, 39.6% reported VI. Seven variables were found to be independently  associated with VI. The optimal model, logistic regression model, achieved area  under the curve (AUC) of 0.702 and 0.706 in the training and validation cohorts,  respectively. The model's potential for clinical application was supported by  calibration and decision-curve analyses; the resulting nomogram and web  calculator provided individualized risk prediction. CONCLUSION: We developed a  clinically interpretable logistic regression model to predict the risk of VI in  adults aged ≥45y with diabetes. The accompanying nomogram and web tool may assist  with early identification and targeted vision care.</t>
  </si>
  <si>
    <t>RCTGXA6N</t>
  </si>
  <si>
    <t>Prediction model for self-reported VI; does not test questions against measured vision</t>
  </si>
  <si>
    <t>Dougherty, Bradley E. et al.</t>
  </si>
  <si>
    <t>Development of a battery of functional tests for low vision.</t>
  </si>
  <si>
    <t>Optometry and vision science : official publication of the American Academy of Optometry</t>
  </si>
  <si>
    <t>PURPOSE: We describe the development and evaluation of a battery of tests of functional visual performance of everyday tasks intended to be suitable for  assessment of low vision patients. METHODS: The functional test battery  comprises-Reading rate: reading aloud 20 unrelated words for each of four print  sizes (8, 4, 2, &amp; 1 M); Telephone book: finding a name and reading the telephone  number; Medicine bottle label: reading the name and dosing; Utility bill: reading  the due date and amount due; Cooking instructions: reading cooking time on a food  package; Coin sorting: making a specified amount from coins placed on a table;  Playing card recognition: identifying denomination and suit; and Face  recognition: identifying expressions of printed, life-size faces at 1 and 3 m.  All tests were timed except face and playing card recognition. Fourteen normally  sighted and 24 low vision subjects were assessed with the functional test  battery. Visual acuity, contrast sensitivity, and quality of life (National Eye  Institute Visual Function Questionnaire 25 [NEI-VFQ 25]) were measured and the  functional tests repeated. Subsequently, 23 low vision patients participated in a  pilot randomized clinical trial with half receiving low vision rehabilitation and  half a delayed intervention. The functional tests were administered at enrollment  and 3 months later. RESULTS: Normally sighted subjects could perform all tasks  but the proportion of trials performed correctly by the low vision subjects  ranged from 35% for face recognition at 3 m, to 95% for the playing card  identification. On average, low vision subjects performed three times slower than  the normally sighted subjects. Timed tasks with a visual search component showed  poorer repeatability. In the pilot clinical trial, low vision rehabilitation  produced the greatest improvement for the medicine bottle and cooking instruction  tasks. CONCLUSIONS: Performance of patients on these functional tests has been  assessed. Some appear responsive to low vision rehabilitation.</t>
  </si>
  <si>
    <t>7YYD3BZU</t>
  </si>
  <si>
    <t>Performance-based functional test battery, not a questionnaire</t>
  </si>
  <si>
    <t>Stalin, Amritha et al.</t>
  </si>
  <si>
    <t>Development of a screening tool for reduced vision among inpatients of hospital rehabilitation units.</t>
  </si>
  <si>
    <t>SIGNIFICANCE: This study developed a practical screening tool to identify reduced habitual vision (RHV) in hospital rehabilitation units. This tool would enhance  patient care by enabling timely interventions in resource-limited settings.  PURPOSE: The study aimed to develop a practical and implementable screening tool  to identify patients with RHV in hospital rehabilitation units. Potential vision  measures, screening questions, and demographic variables were considered to  determine the optimum combination. METHODS: The cross-sectional study recruited  112 adult inpatients (aged 18+ years) from three rehabilitation units in an acute  care hospital in Ontario, Canada, between October 2018 and February 2019. Data  included an oral questionnaire on demographics, health status, and self-reported  vision function, alongside vision assessments (distance visual acuity [VA],  contrast sensitivity [CS], visual fields [VFs], and stereopsis). Univariate and  multivariate logistic regression analyses were conducted to identify significant  predictors of RHV, defined by VA &gt;0.3 logMAR, CS &lt;1.40 logCS, or any VF defect.  RESULTS: The average age of participants was 74.5 years (±14.3 years), and RHV  was present in 48.7%. Significant predictors of RHV included self-reported  "happiness" with vision with current spectacles and difficulty reading a  newspaper. The optimal predictive factors were VA and VF testing (96%  sensitivity), but for practical implementation, the combination of three  self-reported questions (happiness with vision, difficulty reading a newspaper,  and difficulty distinguishing facial expressions) demonstrated 74% sensitivity.  CONCLUSIONS: The study highlights that a combination of self-reported questions  can effectively identify patients with RHV, providing a feasible alternative to  direct vision assessments in resource-limited settings. Implementing this  screening tool could improve patient care by enabling timely adaptations and  referrals for eye care, ultimately enhancing rehabilitation outcomes and reducing  falls risk. Further research is needed to refine the tool's sensitivity and  explore its applicability in broader hospital and primary care settings.</t>
  </si>
  <si>
    <t>P6C8QDAV</t>
  </si>
  <si>
    <t>Screening tool incl. self-report questions for reduced vision in Ontario rehab inpatients; accuracy data; Canadian</t>
  </si>
  <si>
    <t>de Boer, Michiel R. et al.</t>
  </si>
  <si>
    <t>Different aspects of visual impairment as risk factors for falls and fractures in older men and women.</t>
  </si>
  <si>
    <t>Journal of bone and mineral research : the official journal of the American Society for Bone and Mineral Research</t>
  </si>
  <si>
    <t>Visual impairment has been implicated as a risk factor for falling and fractures, but results of previous studies have been inconsistent. The relationship between  several aspects of vision and falling/fractures were examined in a prospective  cohort study in 1,509 older men and women. The analyses showed that impaired  vision is an independent risk factor for both recurrent falling and fractures.  INTRODUCTION: Falls and fractures are a major health problem among the elderly.  Visual impairment has been implicated as a risk factor for both falls and  fractures. However, results from studies are inconsistent. The inconsistency  between findings can primarily be attributed to differences in the designs of  these studies. Most studies have been cross-sectional or case-control studies,  and many have not correctly adjusted for potential confounders. Furthermore,  until now, the potential mediating effects of functional limitation, physical  performance, and physical activity have not been examined. MATERIALS AND METHODS:  A total of 1,509 people was examined in 1995-1996. Contrast sensitivity was  assessed with the VCTS_6000-1 chart for near vision. In addition, self-reported  visual impairment was assessed by questions on recognizing faces from a distance  of 4 m, reading the small print in the newspaper, and problems with glare.  Furthermore, many potential confounders and mediators were assessed. Falls and  fractures were assessed prospectively during a 3-year follow-up period. The  associations between the vision variables and falls and fractures were examined  using Cox proportional hazards analyses. RESULTS: After adjustment for potential  confounders, contrast sensitivity was shown to be associated with recurrent  falling (hazard ratio [HR] = 1.5), and the question on recognizing faces was  shown to be associated with fractures (HR = 3.1). Furthermore, functional  limitations and physical performance were shown to be mediators in the  relationship between vision variables and recurrent falling/fractures.  CONCLUSIONS: The results indicate that impaired vision is an independent risk  factor for falling and fractures, but different aspects of visual functioning may  have different relationships to falling and fractures.</t>
  </si>
  <si>
    <t>QF44N497</t>
  </si>
  <si>
    <t>Self-reported vision as fall/fracture risk factor; no accuracy for vision</t>
  </si>
  <si>
    <t>Yong, Pui Theng et al.</t>
  </si>
  <si>
    <t>Does the optimal level of illumination improve both visual functions and visual comfort in schoolchildren with low vision?</t>
  </si>
  <si>
    <t>PloS one</t>
  </si>
  <si>
    <t>Lighting modification is commonly performed by optometrists and occupational therapists to enhance visibility and visual comfort among schoolchildren with low  vision. The purpose of this study is to determine the optimal illumination level  for visual function and visual comfort of schoolchildren with low vision and the  relationship between them. A cross-sectional study was conducted to assess five  levels of illumination ranging from 125 lux to 2000 lux to determine the optimal  illumination for visual functions and visual comfort in schoolchildren with low  vision from a special education school for blind in Malaysia. Purposive sampling  was done to recruit forty-two schoolchildren with low vision for this study.  Visual functions assessed were visual acuity, measured using the Early Treatment  Diabetic Retinopathy Study LogMAR chart at distance and near, contrast  sensitivity (CS) measured using the Pelli-Robson chart at distance and the Mars  CS chart at near. Reading speed was determined using the Universiti Kebangsaan  Malaysia Malay Language Related Word Reading Text test chart. Subjects were asked  to rate their visual comfort using a validated questionnaire at the end of each  measurement of visual functions and reading speed for the different illumination  levels. Visual acuity and contrast sensitivity at distance and near, visual  comfort and reading speed improved significantly with increase in illumination  levels (p&lt;0.05). However, the interaction between illumination level and level of  low vision was not significant (p&gt;0.05). Visual comfort was significantly  associated with visual function (p&lt;0.05), while direct association between visual  comfort and illumination level was not significant (p&gt;0.05). Optimal illumination  for improvement of visual function, reading speed and visual comfort range from  276.67 lux to 701.59 lux. Majority of the schoolchildren with low vision had  improved visual function, reading speed and visual comfort with increased  illumination. Illumination of at least 600 lux is recommended for maximum visual  functioning and visual comfort of schoolchildren with low vision.</t>
  </si>
  <si>
    <t>R7ZLBDJY</t>
  </si>
  <si>
    <t>Schoolchildren with low vision</t>
  </si>
  <si>
    <t>Sengupta, Sabyasachi et al.</t>
  </si>
  <si>
    <t>Driving habits in older patients with central vision loss.</t>
  </si>
  <si>
    <t>OBJECTIVE: To determine if central visual loss is associated with driving cessation, driving restriction, or other-driver preference. DESIGN:  Cross-sectional study. PARTICIPANTS: Sixty-four subjects with bilateral visual  loss (&lt;20/32 in better eye) or severe unilateral visual loss (&lt;20/200) from  age-related macular degeneration (AMD) and 58 normally sighted controls between  60 and 80 years of age. METHODS: Participants self-reported driving habits.  Other-driver preference was defined as preferring that another drive when there  is more than 1 driver in the car. Subjects reporting 2 or more driving  limitations were considered to have restricted their driving. MAIN OUTCOME  MEASURES: Self-reported driving cessation, other-driver preference, and driving  restriction. RESULTS: Age-related macular degeneration subjects were older (74.7  vs. 69.7 years), had worse visual acuity (VA; mean better-eye VA, 0.43 vs. 0.08  logarithm of minimum angle of resolution [logMAR]) and contrast sensitivity (CS;  1.4 vs. 1.9 log units of CS [logCS]), and were more likely to be white when  compared with controls (P&lt;0.001 for all). Drivers with AMD-related vision loss  were more likely to avoid driving over longer distances, beyond 1 hour, at night,  and in unfamiliar conditions (P &lt; 0.05 for all). In multivariate models, driving  cessation was associated with worse better-eye VA (odds ratio [OR], 1.5 per  1-line decrement in VA; P&lt;0.001) and worse binocular CS (OR, 1.36 per 0.1 logCS  increment; P = 0.005); however, AMD group status was not associated with driving  cessation (OR, 1.9; P = 0.35). Factors predicting driving restriction were AMD  (OR, 9.0; P = 0.004), worse vision (OR, 2.5 per line of VA loss; P&lt;0.001), lower  CS (OR, 2.2 per 0.1-logCS increment; P&lt;0.001), and female gender (OR, 27.9; P =  0.002). Other-driver preference was more common with worse vision (OR, 1.6 per  0.1-logMAR increment; P = 0.003), female gender (OR, 4.5; P = 0.02), and being  married (OR, 3.8; P = 0.04). CONCLUSIONS: Most patients with AMD-related central  vision loss continue to drive, but demonstrate significant driving restrictions,  especially with more severe VA and CS loss. Future work should determine which  driving adaptations the visually impaired best balance safety and independence.</t>
  </si>
  <si>
    <t>HG7UMIE8</t>
  </si>
  <si>
    <t>Driving habits in AMD</t>
  </si>
  <si>
    <t>Stroupe, Kevin T. et al.</t>
  </si>
  <si>
    <t>Economic Evaluation of Low-Vision Rehabilitation for Veterans With Macular Diseases in the US Department of Veterans Affairs</t>
  </si>
  <si>
    <t>JAMA Ophthalmology</t>
  </si>
  <si>
    <t>Importance  Examining costs and consequences of different low-vision (LV) programs provides important information about resources needed to expand treatment options efficiently.
Objective  To examine the costs and consequences of LV rehabilitation or basic LV services.
Design, Setting, and Participants  The US Department of Veterans Affairs (VA) Low Vision Intervention Trial (LOVIT) II was conducted from September 27, 2010, to July 31, 2014, at 9 VA facilities and included 323 veterans with macular diseases and a best-corrected distance visual acuity of 20/50 to 20/200. Veterans were randomized to receive basic LV services that provided LV devices without therapy, or LV rehabilitation that added a therapist to LV services who provided instruction and homework on using LV devices, eccentric viewing, and environmental modification. We compared costs and consequences between these groups.
Interventions  Low-vision devices without therapy and LV devices with therapy.
Main Outcomes and Measures  Costs of providing basic LV services or LV rehabilitation were assessed. We measured consequences as changes in functional visual ability from baseline to follow-up 4 months after randomization using the VA Low Vision Visual Functioning Questionnaire. Visual ability was measured in dimensionless log odds units (logits).
Results  Of 323 randomized patients, the mean (SD) age was 80 (10.5) years, 314 (97.2%) were men, and 292 (90.4%) were white. One hundred sixty (49.5%) received basic LV services and 163 (50.1%) received LV rehabilitation. The mean (SD) total direct health care costs per patient were similar between patients who were randomized to receive basic LV services ($1662 [$671]) or LV rehabilitation ($1788 [$864]) (basic LV services, $126 lower; 95% CI, $299 lower to $35 higher; P = .15). However, basic LV services required less time and had lower transportation costs. Patients receiving LV rehabilitation had greater improvements in overall visual ability, reading ability, visual information processing, and visual motor skill scores.</t>
  </si>
  <si>
    <t>RFSLI2N7</t>
  </si>
  <si>
    <t>Economic evaluation of LV rehabilitation (LOVIT II)</t>
  </si>
  <si>
    <t>Jin, Yingying et al.</t>
  </si>
  <si>
    <t>Economic Hardship, Ocular Complications, and Poor Self-reported Visual Function are Predictors of Mental Problems in Patients with Uveitis.</t>
  </si>
  <si>
    <t>Ocular immunology and inflammation</t>
  </si>
  <si>
    <t>Purpose: To characterize the quality of life and mental health status of patients with uveitis and investigate predictors of psychological problems.Methods: A  total of 245 patients and 105 controls were enrolled in this cross-sectional  study. Quality of life, psychological status, socio-demographic and clinical data  were obtained from questionnaires and medical records. Multivariate regression  analyses and Receiver Operating Characteristic (ROC) were applied to obtain the  model predicting psychological problems of patients.Results: Of 245 patients,  16.7% and 26.5% (P&lt; .0001) screened positive for anxiety and depression,  respectively. The model predicting anxiety was comprised of low annual household  income and poor self-reported visual function (P= .029,P&lt; .0001, respectively),  with an AUC of ROC of 0.744. The model predicting depression was comprised of  poor self-reported visual function and ocular complications (P&lt; .0001, P= .012,  respectively), with an AUC of 0.78.Conclusions: Economic hardship, ocular  complications, and poor self-reported visual function are predictors of mental  problems in patients with uveitis.</t>
  </si>
  <si>
    <t>VVN6927G</t>
  </si>
  <si>
    <t>Uveitis and mental health</t>
  </si>
  <si>
    <t>Qian, Tianwei et al.</t>
  </si>
  <si>
    <t>Efficacy of MP-3 microperimeter biofeedback fixation training for low vision rehabilitation in patients with maculopathy.</t>
  </si>
  <si>
    <t>BMC ophthalmology</t>
  </si>
  <si>
    <t>BACKGROUND: To evaluate the efficacy of MP-3 microperimeter biofeedback fixation training (MBFT) in vision rehabilitation of low-vision patients affected by  macular disease with central vision loss. METHODS: Seventeen eyes (7 age-related  macular degeneration, 10 myopic maculopathy) of 17 patients were included in this  prospective, interventional study. The preferred retinal locus was determined by  comprehensive ophthalmoscopic fundus evaluation including fundus photography,  autofluorescence, optical coherence tomography, and microperimetry. The  rehabilitation consisted of three 10-min sessions per eye to be performed twice  per week for 20 consecutive weeks using the MP-3 microperimeter. Best corrected  visual acuity (BCVA), reading speed, mean central sensitivity, the percentages of  fixation points within specified regions, bivariate contour ellipse area (BCEA)  and the 25-item National Eye Institute visual function questionnaire (NEI-VFQ-25)  were recorded pre- and post-training. RESULTS: The final BCVA, reading speed and  mean central sensitivity all showed significant improvements after rehabilitation  (P &lt;  0.0001, P = 0.0013, and P = 0.0002, respectively). The percentages of  fixation points located within 2° and 4° diameter circles both significantly  increased after training (P = 0.0008 and P = 0.0007, respectively). The BCEA  encompassing 68.2, 95.4, 99.6% of fixation points were all significantly  decreased after training (P = 0.0038, P = 0.0022, and P = 0.0021, respectively).  The NEI-VFQ-25 scores were significantly increased at the end of the  rehabilitation training (P &lt;  0.0001). CONCLUSION: Rehabilitation with MP-3 MBFT  is a user-friendly therapeutic option for improving visual function, fixation  stability, and quality of life in advanced macular disease. TRIAL REGISTRATION:  The prospective study was registered with the Chinese Clinical Trial Registry (  http://www.chictr.org.cn/ ). TRIAL REGISTRATION NUMBER: ChiCTR2000029586 . Date  of registration: 05/02/2020.</t>
  </si>
  <si>
    <t>HZ4UIEU3</t>
  </si>
  <si>
    <t>Microperimetry biofeedback training</t>
  </si>
  <si>
    <t>Elsman, Ellen B.M. et al.</t>
  </si>
  <si>
    <t>Estimating the prevalence of visual impairment in the Netherlands, with forecasts up to 2050: a meta-analysis of national databases</t>
  </si>
  <si>
    <t>eClinicalMedicine</t>
  </si>
  <si>
    <t>Background
Current prevalence estimates of visual impairment (i.e., low vision and blindness) in the Netherlands are lacking. Based on representative databases, we aimed to estimate the prevalence of visual impairment among Dutch adults and to forecast estimates to 2050.
Methods
We undertook a meta-analysis of national databases. Databases were primarily identified through expert consultation and included when representative of the Dutch population and containing recent (≥2010) data on vision (visual acuity &lt;6/18, self-reported visual functioning, or relevant International Classification of Primary Care [ICPC] codes). We classified self-reported visual functioning according to four definitions: A) only near vision difficulties; B) only distance vision difficulties; C) both near and distance vision difficulties; D) any vision difficulties (combining A–C). Population-based prevalences were calculated and pooled using four meta-analyses, including heterogeneity assessment and subgroup analyses. Age-effects were modelled using logistic mixed-effects models.
Findings
We included eight databases with data collected data between 2010 and 2024, accounting for 1,814,716 individuals (894,541 males and 920,175 females). Five databases were prospective population-based cohort studies, two were periodically administered cross-sectional health surveys, and one contained registrations from general practices. Five databases had self-reported data on visual functioning, two had data on best-corrected distance visual acuity, and one included ICPC codes. There was substantial heterogeneity with assessment method as moderator (i.e., self-reported vs. visual acuity vs. ICPC; I2 statistic &gt;98%, p &lt; 0.0001). The pooled prevalence of visual impairment was 0.28% (95% CI: 0.11–0.73) for visual acuity (2 databases), whereas it was 0.51% (95% CI: 0.50–0.52) for ICPC (1 database). The prevalence for self-report (five databases) depended on the definition. For only near vision difficulties (A), prevalence was 1.81% (95% CI: 1.01–3.21); for only distance vision difficulties (B), prevalence was 0.63% (95% CI: 0.50–0.80); for both near and vision difficulties (C), prevalence was 0.51% (95% CI: 0.31–0.83); and for any vision difficulties (D), prevalence was 3.21% (95% CI: 2.15–4.77). After applying age-specific and assessment-specific prevalence estimates to projected population structures, we estimate that 39,100–406,400 Dutch adults have visual impairment in 2025, and this is estimated to increase to 48,800–489,100 by 2050 owing to population growth and ageing, depending on definitions.
Interpretation
Despite inherent limitations (including databases mostly containing self-reported data on visual functioning) and substantial uncertainty in estimates, this study provides population-level estimates of visual impairment in the Netherlands. Although these estimates span a wide range of values, they reveal trends and plausible uncertainty intervals, illustrating the potential magnitude of the current and future burden of visual impairment.</t>
  </si>
  <si>
    <t>P7WZJ6Q3</t>
  </si>
  <si>
    <t>Prevalence meta-analysis comparing self-reported visual functioning definitions with acuity data</t>
  </si>
  <si>
    <t>Rowe, Fiona J et al.</t>
  </si>
  <si>
    <t>European Stroke Organisation (ESO) guideline on visual impairment in stroke</t>
  </si>
  <si>
    <t>European Stroke Journal</t>
  </si>
  <si>
    <t>Abstract             Visual impairment due to stroke is common. However, controversy exists on how best to screen for visual impairment, the timing at which to screen, and on the optimal management of the varying types of visual impairment. This European Stroke Organisation (ESO) guideline provides evidence-based recommendations to assist clinicians in decision-making on screening methods, timing of screening and assessment and management options in adult stroke survivors. The target audience for this guideline is health care providers involved in stroke care from prehospital screening, in stroke units and rehabilitation centres, ophthalmological departments and community stroke care, and for stroke survivors and care givers. The guideline was developed according to the ESO standard operating procedure and the Grading of Recommendations, Assessment, Development and Evaluation (GRADE) methodology. The working group identified relevant clinical questions, performed systematic reviews and, where possible, meta-analyses of the literature, assessed the quality of the available evidence and made specific recommendations. Expert consensus statements were provided where insufficient evidence was available to provide recommendations based on the GRADE approach. We found evidence of acceptability and feasibility of early visual screening within 1 week of stroke onset. We describe the accuracy of various vision screening tools at pre-hospital and hyper/acute stages as well as specialist vision assessment. We suggest vision screening in all patients with stroke to improve detection of their visual problems We describe a range of treatment options for visual impairment post-stroke across the typical categories of impaired central vision, ocular stroke (central retinal artery occlusion), eye movements, visual fields, visual neglect and visual perception. This guideline highlights specific areas where robust evidence is lacking and where further definitive randomised controlled trials and diagnostic accuracy studies are required.</t>
  </si>
  <si>
    <t>HQVZWRIC</t>
  </si>
  <si>
    <t>Stroke guideline incl. accuracy of vision screening tools; stroke population, check if any self-report items</t>
  </si>
  <si>
    <t>Babcock-Parziale, Judi et al.</t>
  </si>
  <si>
    <t>Evaluating psychometric properties of a clinical and a self-report blind rehabilitation outcome measure.</t>
  </si>
  <si>
    <t>Journal of rehabilitation research and development</t>
  </si>
  <si>
    <t>This study assessed the psychometric properties and evaluated the compatibility of two blind and low-vision rehabilitation outcome instruments, the VA-13 and the  Functional Assessment of Self-Reliance on Tasks (FAST). Legally blind veterans (N  = 190) from a Department of Veterans Affairs inpatient blind rehabilitation  center completed the VA-13 (a retrospective pretest and posttest) at 6 weeks  postdischarge. Clinicians rated veterans on the FAST at admission and discharge.  The psychometric properties of the two instruments and their compatibility were  evaluated with the use of a Rasch model analysis. The two instruments functioned  consistently as screens and showed a ceiling effect at posttest; however, the  VA-13 showed poor sensitivity to change. In contrast, the FAST showed more  reliable change, but a few items changed in unexpected ways. Our conclusions show  that the two instruments are currently not compatible for calibration; however,  this can be improved with proper attention to scaling inadequacies, test  administration times, and content coverage.</t>
  </si>
  <si>
    <t>XWXK4R4N</t>
  </si>
  <si>
    <t>Rasch psychometrics of self-report blind rehab outcome measure (VA-13); possible for instrument table</t>
  </si>
  <si>
    <t>Chen, Yibing et al.</t>
  </si>
  <si>
    <t>Evaluation of a Community-Based AI-Assisted Visual Impairment Screening Model for Performance, Operational Efficiency, Acceptability, Feasibility, and Costs:  Protocol for a 2-Arm Pragmatic Randomized Controlled Trial.</t>
  </si>
  <si>
    <t>JMIR research protocols</t>
  </si>
  <si>
    <t>BACKGROUND: Visual impairment (VI) affects more than 600 million people globally and significantly reduces quality of life. In Singapore, 20% of adults aged 60  years and older (~180,000 people) have VI, a figure expected to double by 2030  due to population aging. While about half of VI cases are due to uncorrected  refractive errors, the rest are caused by age-related diseases. The current  traditional screening model is a 2-visit, labor-intensive approach with low  follow-up rates and frequent unnecessary referrals. Although AI for  Disease-related Visual Impairment Screening Using Retinal Imaging, the deep  learning model in this study, has demonstrated strong diagnostic performance in  retrospective datasets (area under the curve=0.942), key aspects of real-world  implementation such as operational efficiency, patient acceptability, workflow  feasibility, and cost remain insufficiently studied. As a result, real-world  evidence directly comparing artificial intelligence (AI)-assisted and traditional  screening pathways is limited. OBJECTIVE: This study aims to evaluate the  referral accuracy, operational efficiency, acceptability, feasibility, and cost  of an AI-assisted screening model compared with the current traditional screening  model. METHODS: This study aims to recruit 1000 participants aged 50 years and  older using a 2-arm pragmatic randomized controlled trial design. Participants  with presenting visual acuity worse than 6/12 (L2) will be randomized 1:1 into  either the AI-assisted or traditional screening arms. In the AI-assisted arm, the  AI model will analyze retinal photos on-site, with positive cases referred to an  optometrist for secondary evaluation. The AI model, previously developed with  promising diagnostic accuracy and further validated using community-acquired  data, has been integrated with a custom user interface for use in this study.  Traditional screening will include pinhole visual acuity, intraocular pressure,  slit lamp examination, auto refraction, and retinal photography. All L2  participants will complete a patient-acceptance questionnaire and undergo  assessments to determine ground truth. RESULTS: The study was funded in 2022.  Participant recruitment commenced in July 2024, with 487 participants enrolled as  of September 14, 2024. Recruitment is ongoing, with study completion anticipated  by March 2026 and data analysis expected to begin in April 2026. CONCLUSIONS:  This study will provide critical evidence on the clinical utility, feasibility,  and cost analysis of AI-assisted VI screening. Our findings may contribute  real-world evidence to inform scalable, sustainable screening strategies that  enhance efficiency, accuracy, and health system outcomes.</t>
  </si>
  <si>
    <t>TBYISN3B</t>
  </si>
  <si>
    <t>AI retinal-imaging screening trial protocol</t>
  </si>
  <si>
    <t>Oviedo-Cáceres, M. Pilar et al.</t>
  </si>
  <si>
    <t>Evidence-based recommendations for the diagnosis, treatment, functional rehabilitation, and follow-up of people over 7 years of age with low vision</t>
  </si>
  <si>
    <t>Revista Mexicana de Oftalmología (English Edition)</t>
  </si>
  <si>
    <t>Purpose: The aim of the study was to develop evidence-based recommendations for the diagnosis, functional rehabilitation, and follow-up of people with low vision between 7 and 18 years of age and &gt; 18 years of age.
Methods: A development group was formed with the participation of patients. A systematic search was performed, and the quality of the studies and the body of evidence were evaluated. Recommendations were made using the Grade Evidence to Decision Framework, and then validated by national experts.
Results: In the diagnostic section, the quality of evidence regarding visual acuity and visual field was low; in these tests, a weak recommendation was made favorable to the use of the Early Treatment Diabetic Retinopathy Study and Microperimetry primer, respectively. Regarding contrast sensitivity, the quality of evidence was very low, and a weak recommendation was given favorable to the use of the Pelli-Robson test. Regarding treatment, the quality of evidence on electronic optical aids was moderate, and a weak recommendation was given favorable to their use. Regarding manual and electronic magnifiers, telescopes, and tablets, the quality of evidence was very low and a weak recommendation favorable to their use was given. In the rehabilitation section, the quality of evidence regarding this aspect for people &gt; 16 years of age was moderate, and there is a strong recommendation favorable to multidisciplinary and multicomponent rehabilitation. On the other hand, the quality of evidence regarding rehabilitation for people between 7 and 16 years of age was low, and there is a strong recommendation favorable to its use. The quality of evidence for occupational therapy interventions was low and a weak recommendation was given favorable of its use. Regarding psychology, the quality of evidence on interventions like this was low and a strong recommendation was given favorable to their use. Finally, the quality of evidence for the use of follow-up scales was high and a strong recommendation was given favorable to the use of the National Eye Institute Visual Function Questionnaire-25.
Conclusions: The recommendations issued facilitate establishing general practice guidelines for the comprehensive management of low vision to reduce unwanted variability regarding diagnosis, functional rehabilitation, and follow-up.
Keywords: Low vision; Clinical practice guideline; Rehabilitation; Assistive technologies; Vision test; Quality of life</t>
  </si>
  <si>
    <t>Q35AIDDH</t>
  </si>
  <si>
    <t>Evidence-based LV diagnosis/rehabilitation recommendations; check referral and screening content</t>
  </si>
  <si>
    <t>Martiniello, Natalina et al.</t>
  </si>
  <si>
    <t>Exploring Correlates of Braille Reading Performance in Working-age and Older Adults with Visual Impairments</t>
  </si>
  <si>
    <t>Scientific Studies of Reading</t>
  </si>
  <si>
    <t>Tactile, motor and cognitive capacities decline with age, but little is known about how this relates to braille reading outcomes. This study investigated correlates of braille reading speed among working-age and older adults. Texts were read in two modes (oral/silent) and two media (paper/electronic braille display) by 46 blind adults (age range 23–88) who learned braille between the ages of 4 and 63. Participants completed demographic questionnaires and tests of tactile acuity, fine-motor dexterity and working-memory. A relationship between decreased performance in tactile sensitivity and increased age was observed, but no relationship between increased age and braille reading speed was found. Active tactile acuity, reading frequency and braille learning age were significantly correlated with braille reading speed. No significant difference based on medium was observed, though silent reading was significantly faster than reading aloud. Findings underscore the importance of providing opportunities for older braille learners to secure training and to have frequent opportunities to practice braille between sessions. Findings also challenge the suggestion that increased age alone will impede braille learning. The most significant barrier faced by older braille learners is not their age, but challenges that could instead be addressed through policy and practice changes.</t>
  </si>
  <si>
    <t>L3THTPFQ</t>
  </si>
  <si>
    <t>Braille reading performance</t>
  </si>
  <si>
    <t>Eden, Karen et al.</t>
  </si>
  <si>
    <t>Exploring vision tests as a surrogate for depression screening in patients with a visual impairment: A cross-sectional study</t>
  </si>
  <si>
    <t>AJO International</t>
  </si>
  <si>
    <t>Purpose
To investigate if vision tests can act as a surrogate for depression screening in visually impaired adult patients, and explore the association between self-reported visual function and depression.
Design
Cross-sectional.
Methods
Consecutive adult patients (≥18 years) (n = 237) who received a low vision assessment at a hospital-based vision rehabilitation clinic between July 2018 to March 2020, were recruited into the study. The clinic serves patients that have a visual acuity ≤6/15 in the better seeing eye, constricted visual fields &lt;20°, or functional deficits relating to vision loss. Patients were screened for depression using the Patient Health Questionnaire-9 (PHQ-9). The association between risk of depression and vision tests (distance visual acuity, reading acuity, critical print size, contrast sensitivity, and fixation stability) and patient reported visual function (The National Eye Institute, Visual Functioning Questionnaire-25 (VFQ-25)), was measured using multivariable linear regression modelling.
Results
Eighteen percent of patients scored ≥10 on the PHQ-9, indicating risk of major depression. There was no significant association between the vision test scores and the PHQ-9. However, there was a significant association between distance visual acuity (p = 0.010), reading acuity (p = 0.008), contrast sensitivity (p &lt; 0.0001) and the VFQ-25 mental health domain. Further, all VFQ-25 domains were significantly associated with the PHQ-9.
Conclusion
While the vision test scores were not significantly associated with risk of depression, self-reported visual functioning was. We were unable to demonstrate vision tests acting as a surrogate for the PHQ9 when identifying patients at risk of generalized depression. Further investigation is warranted to determine if a correlation can be found with a different mental health-screening tool.
Keywords
Depression; Visual impairment; Vision rehabilitation; PHQ-9; Visual functioning; NEI VFQ-25</t>
  </si>
  <si>
    <t>6HNVESUY</t>
  </si>
  <si>
    <t>Vision tests as surrogate for depression screening</t>
  </si>
  <si>
    <t>Madsen, Heller et al.</t>
  </si>
  <si>
    <t>Eye disorder differentiates seasonality outcomes in persons with severe visual impairment.</t>
  </si>
  <si>
    <t>Journal of affective disorders</t>
  </si>
  <si>
    <t>BACKGROUND: Light plays a crucial role in both the pathogenesis and treatment of seasonal affective disorder (SAD). Consequently decreased retinal sensitivity to  light has been suggested to be a risk factor for SAD. In a population of persons  with severe visual impairment we recently found a highly increased prevalence of  SAD. We now aimed to identify eye disorders or anatomical locations with specific  association to seasonality. METHODS: In 912 cases (33%) from our prior seasonal  pattern assessment questionnaire (SPAQ) screening study, we retrieved eye  diagnoses from the Danish National Patient Registry and analyzed for specific eye  disorders or anatomical locations that significantly differentiated SPAQ outcomes  (global seasonality score, (GSS) and SPAQ-SAD prevalence). RESULTS: Persons with  early life eye disorders (congenital conditions or retinopathy of prematurity)  reported less symptoms of SAD (median GSS 4.5) than persons with acquired eye  disorders (median GSS 5.0, p=0.005). Persons with macular degenerative disorders  (MD) had highly increased seasonality outcomes (hazard ratio 2.23, p=0.002,  median GSS 5 vs. 8, p=0.01). LIMITATIONS: the study is a cross-sectional study  based on a self-report questionnaire. Register data may be incomplete.  CONCLUSIONS: MD is significantly associated to high-level seasonality and SAD  prevalence. Early life eye disorder is associated to slightly lower seasonality  compared to acquired eye disorder. Longitudinal studies are needed to assess  causality.</t>
  </si>
  <si>
    <t>UAN8FWR5</t>
  </si>
  <si>
    <t>Seasonal affective disorder in VI</t>
  </si>
  <si>
    <t>Kapsecker, Maximilian et al.</t>
  </si>
  <si>
    <t>Facial Landmark Analysis for Detecting Visual Impairment in Mobile LogMAR Test</t>
  </si>
  <si>
    <t>IEEE Journal of Biomedical and Health Informatics</t>
  </si>
  <si>
    <t>Visual impairment is a widespread global health issue that affects millions of people across all ages and backgrounds. Timely intervention is essential for the effective management of eye diseases. Smartphones offer the possibility of continuously recording facial gestures during interaction with the device, whereby changes such as squinting of the eyes could indicate progressive vision loss. In this context, a mobile health application was developed to conduct a digital logMAR test while simultaneously capturing real-time facial features. A total of 37 participants took part in a controlled mobile eye test study. The facial landmarks recorded during the test were analyzed to identify patterns that can distinguish between sequences of letters that were read correctly, partially, or not at all. Specifically, explorative data analysis and receiver operating characteristic curves were employed to determine facial landmarks with high discriminative power in relation to reading ability. The predominant facial regions that showed the most significant change under reduced performance during the vision test were the nose, mouth, and cheeks. Notably, the characteristic maximum squinting of the cheeks stood out with an area under the curve of 0.82. The analysis showed the potential of tracking specific facial features for continuous and unobtrusive vision assessment. It motivates to integrate facial feature analysis into an everyday application such as a web browser and to conduct a study in a non-standardized environment on a larger scale.</t>
  </si>
  <si>
    <t>VXW27A52</t>
  </si>
  <si>
    <t>Smartphone facial-landmark acuity test</t>
  </si>
  <si>
    <t>Factors influencing self-reported vision-related activity limitation in the visually impaired.</t>
  </si>
  <si>
    <t>PURPOSE: The use of patient-reported outcome (PRO) measures to assess self-reported difficulty in visual activities is common in patients with impaired  vision. This study determines the visual and psychosocial factors influencing  patients' responses to self-report measures, to aid in understanding what is  being measured. METHODS: One hundred visually impaired participants completed the  Activity Inventory (AI), which assesses self-reported, vision-related activity  limitation (VRAL) in the task domains of reading, mobility, visual information,  and visual motor tasks. Participants also completed clinical tests of visual  function (distance visual acuity and near reading performance both with and  without low vision aids [LVAs], contrast sensitivity, visual fields, and depth  discrimination), and questionnaires assessing depressive symptoms, social  support, adjustment to visual loss, and personality. RESULTS: Multiple regression  analyses identified that an acuity measure (distance or near), and, to a lesser  extent, near reading performance without LVAs, visual fields, and contrast  sensitivity best explained self-reported VRAL (28%-50% variance explained).  Significant psychosocial correlates were depression and adjustment, explaining an  additional 6% to 19% unique variance. Dependent on task domain, the parameters  assessed explained 59% to 71% of the variance in self-reported VRAL. CONCLUSIONS:  Visual function, most notably acuity without LVAs, is the best predictor of  self-reported VRAL assessed by the AI. Depression and adjustment to visual loss  also significantly influence self-reported VRAL, largely independent of the  severity of visual loss and most notably in the less vision-specific tasks. The  results suggest that rehabilitation strategies addressing depression and  adjustment could improve perceived visual disability.</t>
  </si>
  <si>
    <t>QCWN7BKQ</t>
  </si>
  <si>
    <t>What drives self-reported vision-related activity limitation (Activity Inventory) vs acuity, VF, CS; informs appraisal</t>
  </si>
  <si>
    <t>Subhi, Hikmat et al.</t>
  </si>
  <si>
    <t>Functional visual fields: relationship of visual field areas to self-reported function.</t>
  </si>
  <si>
    <t>PURPOSE: The aim of this study is to relate areas of the visual field to functional difficulties to inform the development of a binocular visual field  assessment that can reflect the functional consequences of visual field loss.  METHODS: Fifty-two participants with peripheral visual field loss undertook  binocular assessment of visual fields using the 30-2 and 60-4 SITA Fast programs  on the Humphrey Field Analyser, and mean thresholds were derived. Binocular  visual acuity, contrast sensitivity and near reading performance were also  determined. Self-reported overall and mobility function were assessed using the  Dutch ICF Activity Inventory. RESULTS: Greater visual field loss (0-60°) was  associated with worse self-reported function both overall (R(2) = 0.50; p &lt;  0.0001), and for mobility (R(2) = 0.64; p &lt; 0.0001). Central (0-30°) and  peripheral (30-60°) visual field areas were similarly related to mobility  function (R(2) = 0.61, p &lt; 0.0001 and R(2) = 0.63, p &lt; 0.0001 respectively),  although the peripheral (30-60°) visual field was the best predictor of mobility  self-reported function in multiple regression analyses. Superior and inferior  visual field areas related similarly to mobility function (R(2) = 0.56, p &lt;  0.0001 and R(2) = 0.67, p &lt; 0.0001 respectively). The inferior field was found to  be the best predictor of mobility function in multiple regression analysis.  CONCLUSION: Mean threshold of the binocular visual field to 60° eccentricity is a  good predictor of self-reported function overall, and particularly of mobility  function. Both the central (0-30°) and peripheral (30-60°) mean threshold are  good predictors of self-reported function, but the peripheral (30-0°) field is a  slightly better predictor of mobility function, and should not be ignored when  considering functional consequences of field loss. The inferior visual field is a  slightly stronger predictor of perceived overall and mobility function than the  superior field.</t>
  </si>
  <si>
    <t>VLNSN5ZM</t>
  </si>
  <si>
    <t>Binocular visual field vs self-reported function (Activity Inventory) in peripheral field loss; glaucoma angle</t>
  </si>
  <si>
    <t>Chang, Yin</t>
  </si>
  <si>
    <t>Head-mounted low vision aid</t>
  </si>
  <si>
    <t>The purpose of this study is to implement a portable low vision aid using single camera for image capture and with a speed of real time image enhancement processing that can display on a head mount device (HMD) for outdoor activity. We employed the technique offield-programmable gate array (FPGA) to achieve the aim. One of the advantages of FPGA, which is a semiconductor device that can be configured by the designer after manufacturing, is that the calculation for image processing is generally done by software in traditional CPU can be replaced by hardware and reduce the processing time. One of the algorithms used in this study is the measurement of one's contrast sensitivity function (CSF) which reflects one's contrast sensitivity with various spatial frequency from low to high. CSFs of low vision subjects (n=10, VA&lt;0.1) were measured and visual degradation transfer function (VDTF) were obtained while compared to normal (n=30). The subject's spatial frequency domain was divided into 5 bands according to VDTF=0.5, 0.366, 0.233 and 0.1. Gaussian filter with different sizes was applied to the input images which captured by a CCD camera. Gains for enhancement in mid-fTeq bands were preset with values of 2-10; 1 for high-frequency, and nonlinear compression for low-frequency bands. Enhanced images were simultaneously sent to a pair of HMD with proper image processing. A paragraph of literature reading and a short silent-movie watching, w/o image enhancement, were given to validate subject's visual performance. Recorded reading time and questionnaires were used for scoring the performances and comparisons when subjects wore or not wore the HMD. The results showed that the average reading speed increased about 25% while compared to that without enhancement, and the average score forsilent-movie watching is also gained about 1.5fold or higher after enhancement. Thus we conclude that the employment of high-speed electronic devices, the real-time low vision aid for outdoor activity can be implemented.</t>
  </si>
  <si>
    <t>GIN8IRRT</t>
  </si>
  <si>
    <t>Head-mounted low vision aid engineering study</t>
  </si>
  <si>
    <t>Kuyk, Thomas et al.</t>
  </si>
  <si>
    <t>Health-related quality of life following blind rehabilitation.</t>
  </si>
  <si>
    <t>Quality of life research : an international journal of quality of life aspects of treatment, care and rehabilitation</t>
  </si>
  <si>
    <t>PURPOSE: The purpose of this study was to investigate the effect of residential blind rehabilitation on patients' vision-targeted health-related quality of life  (HRQOL) and general physical and mental function. METHOD: The National Eye  Institute 25-item Visual Function Questionnaire (NEI VFQ) plus appendix  questions, the 12-item Short-Form Health Survey (SF-12), Hope Scale and  Coopersmith self-esteem inventory were administered to 206 legally blind veterans  prior to their entering a residential (in-patient) blind rehabilitation program  and again to 185 and 176 of the original cohort at 2 and 6 months after  completion of the rehabilitation program, respectively. Data on visual acuity,  visual field extent, contrast sensitivity and scanning ability were also  collected. The duration of the in-patient rehabilitation programs ranged from 11  to 109 days. Questionnaire scores were compared pre-rehabilitation and  post-rehabilitation. RESULTS: Following rehabilitation there was a significant  improvement in nine of 11 NEI VFQ subscales and in a composite score at both the  2- and 6-month post-rehabilitation intervals. Mental health (SF-12) and self  esteem also improved significantly although physical health ratings declined over  the course of the study (approximately 10 months). CONCLUSIONS: Residential blind  rehabilitation appears to improve patients' self-reported vision-targeted HRQOL,  self-esteem and mental health aspects of generic HRQOL.</t>
  </si>
  <si>
    <t>LBK44RI3</t>
  </si>
  <si>
    <t>HRQOL after residential blind rehabilitation</t>
  </si>
  <si>
    <t>Altinbay, Deniz et al.</t>
  </si>
  <si>
    <t>How Much Do Clinical and Microperimetric Findings Affect Reading Speed in Low Vision Patients with Age-related Macular Degeneration?</t>
  </si>
  <si>
    <t>Current Eye Research</t>
  </si>
  <si>
    <t>Purpose: To investigate the factors affecting the reading speed of patients with central scotoma due to age-related macular degeneration (AMD).
Materials and Methods: We included 63 eyes of 63 patients with AMD who applied to our low vision clinic between August 2018 and September 2019 in this prospective study. We evaluated socio-demographic characteristics, eye examination findings and Minnesota Low Vision Reading Test (MNREAD) results. We used the MAIA microperimeter device to evaluate the properties of the preferred retinal locus for fixation (PRL) of the patients. Evaluations included the assessment of the effects of all parameters on reading speed.
Results: The PRL was most commonly in the nasal (31%) and superior (26%) quadrants. Twenty-nine percent of the cases preferred the left visual field. PRL localization had no effect on reading speed, whereas, fixation stability, educational status, presence of foveal absolute scotoma, reading acuity and duration of reading interruption were found to have the most significant effects. Multiple regression analysis showed that reading speed decreased by 67 units in the presence of unstable fixation, by 17 units in the presence of foveal absolute scotoma, by 3 units with every 0.1 increase in logMAR value, and by 1.7 units with every 1-year increase in reading interruption. Additionally, being a university graduate was associated with an increased reading speed (by 18 units)
Conclusion: Increased reading performance is one of the factors that can improve quality of life. The factors found to affect the reading speed in the current study may guide the rehabilitation process in low vision patients.</t>
  </si>
  <si>
    <t>9WR7RJFG</t>
  </si>
  <si>
    <t>Reading speed and microperimetry in AMD</t>
  </si>
  <si>
    <t>Hill, A.R. et al.</t>
  </si>
  <si>
    <t>Identifying low vision rehabilitation priorities using a conjoint analysis approach</t>
  </si>
  <si>
    <t>International Congress Series</t>
  </si>
  <si>
    <t>To identify the relative importance of a range of activities amongst patients with age-related macular degeneration (AMD) and to explore the visual function and clinical characteristics associated with the different priorities for low vision rehabilitation. A prospective sample of 122 patients with AMD attending the low vision clinics at Edinburgh Eye Hospital were given several tests including: binocular visual acuity (logMAR), binocular contrast sensitivity (Pelli–Robson), quality of life (QoL) NEI-VF 25 questionnaire and utilities were determined using a time trade-off task (TTO) and a conjoint analysis task. Clinical grading of AMD severity was according to the international classification system. The relative importance of five different activities, identified by factor analysis in a previous study, was assessed in a paired comparison paradigm using discrete-choice conjoint analysis. The activities were: reading, recognising faces, getting about outside, problems associated with glare, and difficulties associated with performing household tasks. Each activity was represented at three levels of difficulty (none, a few, and a lot). Utilities derived from conjoint analysis were compared with TTO utilities. A factor analysis showed that AMD severity and basic measures of visual function were only moderately related to TTO utilities but independent of conjoint utilities. Analyses of individual patient utilities showed two distinct patient clusters; those for whom reading was of greatest importance and those for whom getting about outside was of greatest importance. Conjoint analysis offers the potential of identifying individual patient priorities for low vision rehabilitation.</t>
  </si>
  <si>
    <t>VN5Y8LAZ</t>
  </si>
  <si>
    <t>Conjoint analysis of rehabilitation priorities</t>
  </si>
  <si>
    <t>Pengo, Marta et al.</t>
  </si>
  <si>
    <t>Impact of Visual Impairment on Vision-Related Quality of Life in Parkinson's Disease.</t>
  </si>
  <si>
    <t>Journal of Parkinson's disease</t>
  </si>
  <si>
    <t>BACKGROUND: Visual impairment is frequent and highly disabling in Parkinson's disease (PD); however, few studies have comprehensively evaluated its impact on  vision-related quality of life. OBJECTIVE: To evaluate the relationship between  visual function tests and the visual impairment perceived by PD patients in daily  living activities. METHODS: We cross-sectionally evaluated 62 PD patients and 33  healthy controls (HC). Visual disability was measured with a comprehensive  battery of primary visual function and visual cognition tests (visual outcomes),  and vision-related quality of life was evaluated with the National Eye Institute  25-Item Visual Function Questionnaire (NEI VFQ-25). The relationship between  visual outcomes and NEI VFQ-25 sub-scores was analyzed with Pearson's  correlations and stepwise linear regression. RESULTS: In PD patients, and not in  HC, most NEI VFQ-25 sub-scores were significantly correlated with Cube Analysis  and Dot Counting from Visual Object and Space Perception (VOSP) battery (visual  perception), Clock Drawing Test (visuoconstructive capacity) and Trail Making  Test part-A (visual attention and processing speed) and to a lesser extent with  high- and low-contrast visual acuity. Dot Counting (VOSP) was the test primarily  associated with most NEI VFQ-25 sub-scores (5 out of 12). Roth-28 color test was  the one that best explained the variance of Peripheral Vision (R2: 0.21) and Role  Difficulties (R2: 0.36) sub-scores of NEI VFQ-25, while photopic contrast  sensitivity explained 41% of Driving sub-score variance. CONCLUSION:  Vision-related quality of life in PD is mainly influenced by alterations in  visual perception, visuoconstructive capacity and visual attention and processing  speed. Future studies are warranted to confirm and further extend our findings.</t>
  </si>
  <si>
    <t>BX2LAWIV</t>
  </si>
  <si>
    <t>Parkinson disease population</t>
  </si>
  <si>
    <t>Choi, Kai Yip et al.</t>
  </si>
  <si>
    <t>Impact of visual impairment on balance and visual processing functions in students with special educational needs</t>
  </si>
  <si>
    <t>PLOS ONE</t>
  </si>
  <si>
    <t>Introduction               Vision is critical for children’s development. However, prevalence of visual impairment (VI) is high in students with special educational needs (SEN). Other than VI, SEN students are prone to having functional deficits. Whether visual problems relate to these functional deficits is unclear. This study aimed to assess the impact of vision on visual processing functions and balance in SEN students through a community service.                                         Methods               Visual acuity (VA) and contrast sensitivity were measured in a total of 104 (aged 14.3±4.3) SEN students as the visual outcomes, followed by retinoscopy. Visual processing function assessment included facial expression recognition by card matching examiner’s facial expression matching, and visual orientation recognition. Dynamic balance, by Timed Up and Go test, and static standing balance (postural sway in double-legged standing with feet-together and tandem-stance for open-eye and closed-eye conditions) were assessed. Static balance was presented in terms of the maximal medial-lateral and antero-posterior sways.                                         Results               Of the 104 students, 62 (59.6%) were classified as visually impaired according to WHO classification of visual impairment based on presenting distance acuity. Ocular problems (e.g. optic nerve anomaly, uncorrected/ under-corrected refractive errors) and neurological anomalies were the major causes of vision loss. VA was positively associated with visual processing functions (all p ≤ 0.01), as SEN students with better vision tended to perform better in visual orientation and facial expression recognition tasks, as well as dynamic balance function (p = 0.04). For the static balance, postural sway and VA showed a positive relationship under open-eye and tandem stance conditions. However, the relationship between postural sway and VA became negative under closed-eye and tandem stance conditions.                                         Conclusion               This study found a high prevalence of SEN students with visual impairment, in which many of them were undetected. Optometric examination is important to improve their visual function to minimize the effect of vision on functional performance. Vision is critical in visual processing as well as playing an important role in maintaining balance in SEN students.</t>
  </si>
  <si>
    <t>RTRDBMVU</t>
  </si>
  <si>
    <t>Students with special educational needs</t>
  </si>
  <si>
    <t>Lulu, Cheng et al.</t>
  </si>
  <si>
    <t>Impacts of visual impairment on pragmatic impairment: A systematic review and meta-analysis</t>
  </si>
  <si>
    <t>Background               Consideration for patients with visual impairment, from low vision to blindness, is an important part of building a barrier-free society. Some authors have elaborated that visual impairment can indeed lead to delayed development in theory of mind, thereby causing pragmatic knowledge deficiency. Verifying whether those with eye conditions have pragmatic impairment is an essential way for their clinical evaluation, intervention and rehabilitation.                                         Objective               We primarily carry out a meta-analysis of visual impairment from low vision to blindness and pragmatic impairment in people with low vision or blindness to verify visual impairment may cause pragmatic impairment.                                         Data sources               Electronic databases Pubmed, Medline, MesH, Psychinfo, Ovid, EBSCO and CNKI and the reference sections of previous reviews.                                         Study eligibility criteria               Studies were included when they built on primary data from clinical questionnaire surveys or field trials anywhere in the world, and when they reported impacts of visual impairment on social cognition, communication, skills, behavior and intelligence. In total, 25 original studies were included, in which 25735 people were evaluated.                                         Results                                Statistically, visual impairments and pragmatic impairment exist correlation due to the significant p value(                 p                 = 0.0005 &lt; 0.05) in group and the subgroup sorted in the light of 18 years old (                 p                 &lt; 0.0001 and                 p                 = 0.003 &lt; 0.05). Psychologically, because people with visual impairment can not normally get non-verbal information, they can not get a complete pragmatic knowledge system. Pragmatic knowledge deficiency leads to abnormal in executive functions and development delay from the perspective of theory of mind, inducing pragmatic impairment. Therefore, visual impairment has an impact on pragmatic impairment.                                                        Conclusion               The meta-analysis reveals robust evidence on the relationship of vision impairment and pragmatic impairment in children or adults. Such evidence may help to gradually improve the clinical evaluation, intervention and rehabilitation of these people.</t>
  </si>
  <si>
    <t>UQJJSDCS</t>
  </si>
  <si>
    <t>Pragmatic impairment meta-analysis</t>
  </si>
  <si>
    <t>Agathos, Catherine P. et al.</t>
  </si>
  <si>
    <t>Importance of Screening for Contrast Sensitivity, Falls, and Mobility Limitations in Older Adults With Maculopathy.</t>
  </si>
  <si>
    <t>American journal of ophthalmology</t>
  </si>
  <si>
    <t>OBJECTIVE: Assess the potential value of adding questions on falls/balance difficulties due to vision loss and testing contrast sensitivity (CS) in patients  with maculopathy (mainly age-related macular degeneration, AMD) to help guide  referral for mobility rehabilitation. DESIGN: Cross-sectional study.  PARTICIPANTS: A total of 125 patients over 55 years old with binocular  maculopathy and intact peripheral vision presenting for a low vision  rehabilitation consultation. METHODS: Patients were asked questions regarding  difficulties with their balance and mobility, including the 9-item Glaucoma  Activity Limitation questionnaire (GAL-9). For analysis, patients were grouped by  visual impairment severity using better-eye visual acuity (VA) and binocular CS.  MAIN OUTCOME MEASURES: Visual function, self-reported balance and mobility  difficulties, falls history, and rehabilitation referrals were examined across  visual impairment severity groups. RESULTS: Total 52% of patients reported  balance or gait difficulties and 36% attributed mobility limitations to vision  loss. Increasing vision deficit severity related to greater mobility concerns  (&gt;50% of patients in the severe categories rated difficulty as 3/5 or higher) and  higher referral rates. Scores on the GAL-9 increased with greater vision loss and  were predicted by CS, female sex, larger relative scotomata and falls history  (R(2) = 0.45, P &lt; .0001). CS was a better predictor of mobility difficulties than  VA. Based on reported concerns, 31.2% of patients were referred to orientation  and mobility training and/or physical therapy (&gt;50% in the severe groups).  CONCLUSIONS: Mobility limitations and falls affect a substantial proportion of  AMD patients yet may go undiscussed in eye clinics. Incorporating screening  questions and explicit discussion of mobility difficulties in clinical practice  in maculopathy can help elucidate patient mobility limitations. Realization of  these limitations is the prerequisite to initiate appropriate referrals to low  vision and mobility specialists to improve mobility and manage falls risk.  Clinical practice may also benefit from assessment of CS as this is a better  indicator of difficulties in daily living. Our results, along with prior  literature, underscore the need to recognize the role of central vision loss, and  vision loss more broadly, in mobility decline. Thus, a central vision  loss-specific mobility questionnaire may be needed to facilitate patient  screening in the future.</t>
  </si>
  <si>
    <t>6F4YTHMR</t>
  </si>
  <si>
    <t>Screening questions on falls/mobility and GAL-9 to guide rehabilitation referral in LV clinic</t>
  </si>
  <si>
    <t>Sahu, Anupam et al.</t>
  </si>
  <si>
    <t>Is the high contrast visual acuity chart a good predictor of improvement in visual acuity with low vision aids?</t>
  </si>
  <si>
    <t>Indian Journal of Ophthalmology</t>
  </si>
  <si>
    <t>Purpose:               To assess whether the objective improvement seen with HCVA chart using LVAs correlates with subjective improvement in the quality of life as measured on low vision quality of life (LVQOL) questionnaire of such patients.                                         Methods:               This was a prospective, consecutive, observational study. Objective improvement in visual function was assessed using LVAs with high contrast LogMAR visual acuity chart for near and distance. Subjective improvement for distance was assessed using LVQOL score for “distance mobility and lighting”, whereas for near it was assessed using the LVQOL score for “near and fine work”. A total of 46 patients completed one follow-up after low vision trial and were included in the study.                                         Results:                                Improvement in objective visual acuity was highly significant for both near and distance (                 P                 &lt; 0.001) with LVAs. LVQOL score improved from 65.85 to 76.83 after one of using low vision aids (                 P                 &lt; 0.001). The improvement in LVQOL score for distance and mobility was also highly significant (2.55;                 P                 &lt; 0.001); and so was for near and fine work (5.89;                 P                 &lt; 0.001). However, Spearman rank correlation coefficient showed no correlation between improvement in visual acuity for distance and LVQOL score improvement for distance (                 r                 s                 = –.086;                 P                 = 0.57). For near also, improvement in acuity did not correlate with the LVQOL score improvement for near and fine work (                 r                 s                 = 0.036;                 P                 = 0.81).                                                        Conclusion:               No statistical correlation was observed between the improvements measured by objective HCVA charts and subjective improved as perceived by the patient after use of low vision devices.</t>
  </si>
  <si>
    <t>KX57H7Z4</t>
  </si>
  <si>
    <t>Low vision aids and LVQOL change</t>
  </si>
  <si>
    <t>Ripa, Matteo et al.</t>
  </si>
  <si>
    <t>Is the visual impairment a risk factor for frailty in older adults? A systematic review and meta-analysis of 10-year clinical studies</t>
  </si>
  <si>
    <t>Aging Clinical and Experimental Research</t>
  </si>
  <si>
    <t>Background
Frailty is linked to poor health outcomes later in life. Recent research suggests that visual loss is a possible modifiable risk factor for frailty.
Aims
To analyze the relationship between visual impairment (VI) and frailty and investigate whether it can increase the risk of frailty in older adults.
Methods
We performed a systematic review and meta-analysis of cohort studies following Preferred Reporting Items for Systematic Reviews and Meta-Analyses guidelines. We systematically searched PubMed, Embase, and Scopus databases for relevant studies published between 2012 and 2022 that clearly described VI and frailty measurement methods. Cross-sectional and longitudinal studies that examined the associations between VI and the existence of frailty in adults aged 65 years or older were synthesized. Meta-analyses were conducted using the measurement of risk and a 95% confidence interval for each study. Quality assessment using the Newcastle–Ottawa Scale (NOS), risk of bias, heterogeneity, and sensitivity analyses were also conducted.
Results
Our search identified 1074 manuscripts published in the English language between 1 January 2012 and 9 June 2022. After studies screening, seventeen articles, including 22,192 participants and 3624 cases of frailty, were selected. A random-effect meta-analysis demonstrated a significant association between visual impairment and the risk of frailty (OR 2.13; 95% CI 1.67–2.72). The quality rating of the cross-sectional studies averaged 8.33 (95% CI 7.77–8.89) of the maximum score on the NOS.
Conclusions
Visual impairment increases the risk of frailty in later life and should be accurately assessed in frail older adults.</t>
  </si>
  <si>
    <t>YVLD96K6</t>
  </si>
  <si>
    <t>VI and frailty meta-analysis</t>
  </si>
  <si>
    <t>Robinson, Joshua L. et al.</t>
  </si>
  <si>
    <t>Licensure and Driving Status among Visually Impaired Persons.</t>
  </si>
  <si>
    <t>PURPOSE: This study aimed to determine what proportion of visually impaired patients continue driving despite falling short of the legal cutoffs described in  state licensure laws. METHODS: We created a driving habits survey and  administered it to 335 consecutive adult low vision patients presenting for their  initial evaluation at the Vanderbilt Eye Institute. We measured visual acuity and  contrast sensitivity as part of the clinical evaluation and accounted for  historic visual field results where indicated. We compared self-reported  licensure and driving status against the vision criteria for licensure in each  subject's home state. RESULTS: Two hundred fifty-seven subjects (76.7%) possessed  an unexpired license. One hundred forty-one (54.9%) of these demonstrated vision,  which would meet their home state's licensure criteria. Ninety-five of 134  current drivers (70.9%) met their home state's licensure criteria. Thirty-nine  current drivers (29.1%) were driving outside the bounds of licensure criteria in  their state. Among licensed subjects, being a current driver was associated with  younger age (P &lt; .001), better visual acuity (P &lt; .001), and better contrast  sensitivity (P &lt; .001). CONCLUSIONS: Many drivers do not possess adequate vision  for licensure based on their home state's current standards. Changes to licensure  qualification and renewal procedures may be advisable.</t>
  </si>
  <si>
    <t>YYI8533Q</t>
  </si>
  <si>
    <t>Driving status vs licensure criteria</t>
  </si>
  <si>
    <t>Di Cesare, Tiziana et al.</t>
  </si>
  <si>
    <t>Listening Effort and Its Relation to Spatial Localization, and Vestibular and Visual Impairment in Usher Syndrome-Our Experience.</t>
  </si>
  <si>
    <t>Audiology research</t>
  </si>
  <si>
    <t>BACKGROUND/OBJECTIVES: Children with hearing loss (HL) could experience significant fatigue which compromises their performance. The effort related to  the combination of HL and visual impairment in children affected by Usher  syndrome (USH) could compromise mental health, socio-emotional behavior and  academic achievement. The aim of the present study was to analyse the listening  effort in USH cases types 1 and 2 and its relation to age, molecular diagnosis,  visual field, visual acuity, degree of HL, vestibular impairment and spatial  orientation. METHODS: This was a retrospective monocentric study. Twenty children  with genetically confirmed USH (USH2 in 15/20-75% and USH1 in 5/20-25%), age  range 3-17 years (mean 9.6 ± 4.7), underwent: the Vanderbilt fatigue scale  questionnaire (VFS), audiological and vestibular assessment including the  Oldenburg Matrix test in Italian and video head impulse test (VHIT), sound  localization test and ophthalmologic examination. RESULTS: We observed a more  pronounced HL and deteriorated vestibular function in those with USH1. They also  employed significantly more time and head movements to localize sounds compared  to USH2 and had the worst visual field on eye examination. The VFS did not show  significant differences between the two groups, with the exception of the  physical fatigue reported by parents. Mean VFS was linearly related to age, the  hearing threshold of the worse ear, data logging hours of hearing device, time  and head movements of the localization test, VHIT asymmetry and balance problems  referred by parents and the visual field. USH type 1 had no greater risk of  fatigue than USH2. Profound hearing loss, data logging of hearing device &lt; 8 h a  day, difficult localization test, balance problems and low retinal sensitivity  represented risk factors for listening effort measured with VFS. CONCLUSIONS:  Listening effort in difficult environments such as school rooms in USH patients  is not only associated to hearing function but also to the spatial awareness  determined in part by vestibular and visual function. Teachers should be informed  and made aware of multiple comorbidities in order to facilitate learning.</t>
  </si>
  <si>
    <t>C7TLD7S2</t>
  </si>
  <si>
    <t>Children with Usher syndrome</t>
  </si>
  <si>
    <t>Eklund, K et al.</t>
  </si>
  <si>
    <t>Long-term evaluation of a health education programme for elderly persons with visual impairment. A randomized study</t>
  </si>
  <si>
    <t>In order to implement evidence-based practice, a randomized study was set up to evaluate the ADL- based Health Education Programme ‘Discovering new ways’ for elderly persons with age-related macular degeneration.
Purpose: To investigate the impact of this program on perceived security in the performance of daily activities 28 months after the intervention.
Method: Two-hundred and twenty-nine persons randomized to either the Health Education programme or an Individual Intervention Programme participated in the study. At the 28-month follow-up there was a dropout of 98 persons and the results are based on 62 persons participating in the Health Education Programme and 69 persons in the Individual Intervention Programme.
Results: There were statistically significant differences in perceived security between the groups in 15 out of 28 daily activities. Furthermore, the Health Education Group showed a significant tendency towards an improved level of security while the Individual Intervention Group tended to deteriorate.
Conclusions: The findings provide strong support for the long-term effect of the programme and for the implementation of evidence-based practice. The study corroborates the effectiveness of the Health Education Programme in enhancing security and hindering a progressive decline in perceived security in daily activities.</t>
  </si>
  <si>
    <t>L6KEY4JL</t>
  </si>
  <si>
    <t>Health education programme RCT</t>
  </si>
  <si>
    <t>Wang, Songtao et al.</t>
  </si>
  <si>
    <t>Long-term exposure to fine particulate matter and its constituents is related to self-reported visual impairment among middle-aged and older adults: a  longitudinal study in China.</t>
  </si>
  <si>
    <t>BMC public health</t>
  </si>
  <si>
    <t>BACKGROUND: Visual impairment (VI) poses an increasing global health burden, yet the long-term effects of fine particulate matter (PM2.5) constituents on VI  remain unclear. This study aimed to evaluate associations between long-term  exposure to PM2.5 and its constituents and the risk of VI. METHODS: We used data  from the nationally representative China Health and Retirement Longitudinal Study  (CHARLS, 2011–2018) including adults aged ≥ 45 years. Long-term exposure to PM2.5  and its constituents (SO42–, NO3–, NH4+, organic matter (OM), and black carbon  (BC)) was obtained from the Tracking Air Pollution in China dataset and linked to  participants’ residential cities. The 3-year moving average concentration was  used as the primary exposure metric to capture cumulative effects, while the  1-year average concentration was applied for sensitivity analysis. VI was defined  as self-reported fair or poor vision. Associations were estimated using  time-dependent Cox models, with restricted cubic spline (RCS), stratified and  interaction analyses to assess nonlinear and subgroup effects. RESULTS: Over  27,443 person-years of follow-up, 3,736 participants developed VI. Per  interquartile range (IQR) increase in 3-year moving average concentrations,  higher risks of VI were observed for PM2.5 (HR = 1.09, 95% CI: 1.03–1.15), SO42–  (HR = 1.13, 95% CI: 1.05–1.22), NO3– (HR = 1.06, 95% CI: 1.00–1.13), NH4+  (HR = 1.09, 95% CI: 1.02–1.17), OM (HR = 95% CI: 1.15, 1.07–1.24), and BC  (HR = 1.24, 95% CI: 1.14–1.34). RCS analysis revealed non-linear associations for  PM2.5, NO3–, NH4+, and OM, whereas SO42– and BC showed approximately linear  trends. Associations were more pronounced among older adults (&gt; 60 years old),  smokers, and those with hypertension. CONCLUSION: Long-term exposure to PM2.5 and  its constituents significantly increases the risk of VI among middle-aged and  older adults in China, highlighting the need for targeted environmental health  policies.</t>
  </si>
  <si>
    <t>GW42VNGJ</t>
  </si>
  <si>
    <t>Air pollution and self-reported VI</t>
  </si>
  <si>
    <t>Bora, Riddhi Ajay et al.</t>
  </si>
  <si>
    <t>Low Vision Intervention in Individuals with Age-related Macular Degeneration.</t>
  </si>
  <si>
    <t>Annals of African medicine</t>
  </si>
  <si>
    <t>BACKGROUND: Age-related macular degeneration (AMD) is a leading cause of irreversible central vision loss in older adults. Low vision interventions (LVIs)  aim to enhance residual visual function and promote independence. This study  aimed to evaluate the clinical and functional outcomes of structured LVIs on  visual performance, daily functioning, and quality of life in individuals with  AMD. METHODS: A prospective interventional study was conducted over 1 year at Dr.  D. Y. Patil Medical College, Hospital, and Research Centre in Pune. Eighty-four  participants with confirmed AMD and low vision were enrolled and assessed at  baseline, 3 months, and 6 months postintervention. The rehabilitation program  included optical, nonoptical, and electronic assistive devices, along with  specialized visual training. Primary outcomes included best corrected visual  acuity (BCVA), contrast sensitivity, and reading speed. Secondary outcomes were  assessed using the National Eye Institute Visual Function Questionnaire-25 (NEI  VFQ-25) and the modified Barthel index, evaluating self-reported visual function  and independence in daily activities. RESULTS: Of the 84 participants, 78  completed the full follow-up. Statistically significant improvements were  observed in BCVA (mean gain: 0.17 logMAR), reading speed (mean increase: 18.8  words/min), and contrast sensitivity (mean gain: 0.22 units). The NEI VFQ-25  composite score improved by an average of 17.3 points, with marked enhancement in  near-vision tasks and social engagement. Functional ability, as measured by the  Modified Barthel Index, also showed meaningful improvement. No device-related  complications were reported, and more than 85% of participants adhered to their  prescribed rehabilitation plans. CONCLUSIONS: Structured low vision  rehabilitation leads to significant improvements in visual performance,  functional independence, and perceived quality of life among patients with AMD.  These findings support the integration of LVIs into standard ophthalmic care  protocols for elderly individuals with low vision.</t>
  </si>
  <si>
    <t>G6B76K4V</t>
  </si>
  <si>
    <t>LV intervention outcomes in AMD</t>
  </si>
  <si>
    <t>Wu, Zhichao et al.</t>
  </si>
  <si>
    <t>Low luminance deficit and night vision symptoms in intermediate age-related macular degeneration.</t>
  </si>
  <si>
    <t>The British journal of ophthalmology</t>
  </si>
  <si>
    <t>BACKGROUND/AIMS: To determine the relationship between self-reported visual difficulties under low luminance conditions (night vision symptoms) and visual  function measures in intermediate age-related macular degeneration (AMD).  METHODS: One hundred participants with bilateral intermediate AMD were examined  in a prospective cross-sectional study with visual function measures including  best-corrected visual acuity (BCVA), low luminance visual acuity (LLVA) and  microperimetry in both eyes. A 10-item Night Vision Questionnaire (NVQ-10) was  then used to determine the degree of self-reported night vision symptoms  experienced by each participant. For analyses, low luminance deficit (LLD) was  derived as the difference between LLVA and BCVA, and microperimetric mean  sensitivity (MS; all points) and central sensitivity (CS; points within the  central 1°) were determined. Rasch analysis was used to estimate the person  measure of night vision symptoms, and its relationship with visual function  parameters was determined. RESULTS: NVQ-10 person measures were significantly  associated with LLD (β coefficient=0.067, 95% CI 0.005 to 0.130, p=0.034), but  not BCVA, LLVA, microperimetric MS or CS (p≥0.090). Participants with the highest  degree of self-reported night vision symptoms (fourth quartile of person measure)  had significantly worse LLD than those with the least difficulty (first quartile  of person measure; p=0.019). CONCLUSIONS: In individuals with bilateral  intermediate AMD, LLD was associated with self-reported night vision symptoms,  suggesting that this measure may better capture the visual difficulties  experienced by these individuals under low luminance conditions than the  conventional measure of photopic visual acuity.</t>
  </si>
  <si>
    <t>ZBGKX43K</t>
  </si>
  <si>
    <t>Night Vision Questionnaire vs low-luminance deficit in AMD; self-report vs function, AMD-specific</t>
  </si>
  <si>
    <t>Vingolo, Enzo M. et al.</t>
  </si>
  <si>
    <t>Low-Vision Rehabilitation by Means of MP-1 Biofeedback Examination in Patients with Different Macular Diseases: A Pilot Study</t>
  </si>
  <si>
    <t>Applied Psychophysiology and Biofeedback</t>
  </si>
  <si>
    <t>Macular disease is one of the main causes of visual impairment. We studied the efficacy of low-vision rehabilitation by means of MP-1 biofeedback examination in patients with different macular disease. Five patients were enrolled (3 female and 2 male, mean age 53.8 years) and a total of 9 eyes was examined: 2 eyes with vitelliform dystrophy, 1 with a post-traumatic macular scar, 2 with Stargardt disease, 2 with myopic macular degeneration, 2 with cone dystrophy. All the patients underwent the following tests: visual acuity, reading speed, fixation test, MP-1 microperimetry. Low-vision rehabilitation, which lasted 10 weeks, consisted of 10 training sessions of 10 min for each eye, performed once a week using the MP-1 biofeedback examination. Statistical analysis was performed using Student’s t-test. p values less than 0.05 were considered statistically significant. After training all patients displayed an improvement in visual acuity, fixation behaviour, retinal sensitivity and reading speed. Fixation behaviour within the 2° diameter circle improved and was statistically significant for reading speed (p = 0.01). Reading speed improved from a mean value of 64.3 to 92 words/min. Our results show that audio feedback can, by increasing attentional modulation, help the brain to fix the final preferred retinal locus. Audio feedback facilitates stimuli transmission between intraretinal neurons as well as between the retina and brain, which is where the highest level of stimuli processing occurs, thereby probably supporting a “remapping phenomenon”.</t>
  </si>
  <si>
    <t>4ESFPGED</t>
  </si>
  <si>
    <t>MP-1 biofeedback training</t>
  </si>
  <si>
    <t>Stelmack, Joan A. et al.</t>
  </si>
  <si>
    <t>Measuring low-vision rehabilitation outcomes with the NEI VFQ-25.</t>
  </si>
  <si>
    <t>PURPOSE: To evaluate the sensitivity of the National Eye Institute Visual Functioning Questionnaire-25 (NEI VFQ-25) to change in visual abilities after  low-vision rehabilitation in two different Veterans Administration (VA)  low-vision programs METHODS: Seventy-seven legally blind veterans from the Blind  Rehabilitation Center (BRC) at Hines VA Hospital and 51 partially sighted  veterans from the Visual Impairment Center to Optimize Remaining Sight (VICTORS)  program at the Chicago Health Care Network, West Side Division, were administered  the NEI VFQ-25 plus supplement in interview format at admission and discharge.  Instructions for administration were modified to have study participants answer  all the questions as if they were wearing glasses or contact lenses or were using  low-vision devices. Interval measures of person ability and item difficulty were  estimated from the patients' responses to 34 of the 39 items on the VFQ-25 plus  supplement before and after rehabilitation, by the polytomous rating scale  measurement model of Wright and Masters. RESULTS: In VICTORS patients, item order  by difficulty before rehabilitation agreed with item order for BRC patients.  Visual ability scales are used similarly by different patients with different  degrees of low vision. Based on prerehabilitation person measure distributions,  VICTORS patients were less disabled, as would be predicted by visual acuity, than  were BRC patients. After rehabilitation, estimated item difficulty for 4 of the  34 items decreased significantly in both BRC and VICTORS patients. CONCLUSIONS:  The present study demonstrates that the NEI VFQ-25 plus supplement can be used to  measure the effects of low-vision rehabilitation; however, only 7 of the 34 items  tested are sensitive to change after rehabilitation. Targeted activities, such as  reading ordinary print, small print, and street signs are easier to perform for  graduates of both programs after rehabilitation. The patients' visual ability  also shows improvement in both BRC and VICTORS. Improvement in visual ability is  independent of change in difficulty of targeted items. Although this was not a  controlled clinical trial, the decrease in difficulty of targeted items may  reflect the use of low-vision aids and training to make tasks easier. The change  in visual ability may reflect positive outcomes of rehabilitation or may be the  consequence of patients' overestimates of their functional ability at the time of  discharge.</t>
  </si>
  <si>
    <t>9KZRR6TV</t>
  </si>
  <si>
    <t>NEI VFQ-25 measurement properties in LVR populations; instrument table</t>
  </si>
  <si>
    <t>Measuring outcomes of vision rehabilitation with the Veterans Affairs Low Vision Visual Functioning Questionnaire.</t>
  </si>
  <si>
    <t>PURPOSE: To evaluate the sensitivity to change, in patients who undergo vision rehabilitation, of the Veteran Affairs (VA) Low Vision Visual Functioning  Questionnaire (LV VFQ-48), which was designed to measure the difficulty visually  impaired persons have in performing daily activities and to evaluate vision  rehabilitation outcomes. METHODS: Before and after rehabilitation, the VA LV  VFQ-48 was administered by telephone interview to subjects from five sites in the  VA and private sector. Visual acuity of these subjects ranged from near normal to  total blindness. RESULTS: The VA LV VFQ exhibited significant differential item  functioning (DIF) for 7 of 48 items (two mobility tasks, four reading tasks, and  one distance-vision task). However, the DIF was small relative to baseline  changes in item difficulty for all items. Therefore, the data were reanalyzed  with the constraint that item difficulties do not change with rehabilitation,  which assigns all changes to the person measure. Subjects in the inpatient Blind  Rehabilitation Center (BRC) program showed the largest changes in person measures  after vision rehabilitation (effect size = 1.9; t-test P &lt; 0.0001). The subjects  in the outpatient programs exhibited smaller changes in person measures after  rehabilitation (effect size = 0.29; t-test P &lt; 0.01). There was no significant  change in person measures for the control group (test-retest before  rehabilitation). CONCLUSIONS: In addition to being a valid and reliable measure  of visual ability, the VA LV VFQ-48 is a sensitive measure of changes that occur  in visual ability as a result of vision rehabilitation. Patients' self-reports of  the difficulty they experience performing daily activities measured with this  instrument can be used to compute a single number, the person measure that can  serve as an outcome measure in clinical studies. The VA LV VFQ-48 can be used to  compare programs that offer different levels of intervention and serve patients  across the continuum of vision loss.</t>
  </si>
  <si>
    <t>HKWFHZPM</t>
  </si>
  <si>
    <t>VA LV VFQ-48 sensitivity to change in vision rehabilitation; instrument table</t>
  </si>
  <si>
    <t>Rubin, Gary S.</t>
  </si>
  <si>
    <t>Measuring reading performance.</t>
  </si>
  <si>
    <t>Vision research</t>
  </si>
  <si>
    <t>Despite significant changes in the treatment of common eye conditions like cataract and age-related macular degeneration, reading difficulty remains the  most common complaint of patients referred for low vision services. Clinical  reading tests have been widely used since Jaeger introduced his test types in  1854. A brief review of the major developments in clinical reading tests is  provided, followed by a discussion of some of the main controversies in clinical  reading assessment. Data for the Salisbury Eye Evaluation (SEE) study demonstrate  that standardised clinical reading tests are highly predictive of reading  performance under natural, real world conditions, and that discrepancies between  self-reported reading ability and measured reading performance may be indicative  of people who are at a pre-clinical stage of disability, but are at risk for  progression to clinical disability. If measured reading performance is to  continue to increase in importance as a clinical outcome measure, there must be  agreement on what should be measured (e.g. speed or comprehension) and how it  should be measured (e.g. reading silently or aloud). Perhaps most important, the  methods for assessing reading performance and the algorithms for scoring reading  tests need to be optimised so that the reliability and responsiveness of reading  tests can be improved.</t>
  </si>
  <si>
    <t>9UI3MIE7</t>
  </si>
  <si>
    <t>Review of reading performance; notes self-report vs measured reading discrepancy</t>
  </si>
  <si>
    <t>Verboschi, Francesca et al.</t>
  </si>
  <si>
    <t>New trends in visual rehabilitation with MP-1 microperimeter biofeedback: optic neural dysfunction.</t>
  </si>
  <si>
    <t>Functional neurology</t>
  </si>
  <si>
    <t>The aim of this study was to evaluate the efficacy of visual rehabilitation with MP-1 microperimeter biofeedback in advanced optic neural dysfunction due to  glaucoma, and to precisely characterize fixation stability and location in  affected patients. Ten patients (18 eyes) with advanced glaucoma were submitted  to a rehabilitation protocol that consisted of: a 25-item questionnaire (National  Eye Institute Visual Functioning Que stionnaire); measurement of visual acuity; a  reading speed test; microperimetry with fixation study, retinal sensitivity and  the bivariate contour ellipse area (BCEA). The rehabilitation program consisted  of 10 training sessions of 10 minutes per eye performed over a period of one week  and was repeated at four months, eight months, and one year. Statistical analysis  was performed using the Student's t-test and Spearman correlation; p values less  than 0.05 were considered statistically significant. In 13 eyes fixation changed  from unstable to relatively unstable while its location changed from  predominantly eccentric to predominantly central. In five eyes, fixation changed  from relatively unstable to stable with a change of location from poor central  fixation to predominantly New trends in visual rehabilitation with MP-1  microperimeter biofeedback: optic neural dysfunction central fixation. Mean  retinal sensitivity changed from 7.43±8.28 dB to 8.33±9.04 dB (p&lt;0.05); the mean  best corrected visual acuity was 0.98±0.66 logMAR at the baseline assessment, and  0.75±0.6 logMAR at the end of rehabilitation (p&gt;0.05); reading speed improved  from a mean value of 31.4±4.3 words/minute to 55.6±3.2 words/minute at the end of  the training (p&lt;0.05). The BCEA changed from 0.94±0.39 deg2 to 0.86±0.46 deg2  (p=0.76). Rehabilitation with MP-1 biofeedback in patients with advanced glaucoma  is a useful means of improving these patients' fixation stability, reading speed  and quality of life.</t>
  </si>
  <si>
    <t>UC4JDMGH</t>
  </si>
  <si>
    <t>Biofeedback training in advanced glaucoma</t>
  </si>
  <si>
    <t>Stolowy, Natacha et al.</t>
  </si>
  <si>
    <t>OCT-Based Retina Assessment Reflects Visual Impairment in Multiple Sclerosis.</t>
  </si>
  <si>
    <t>PURPOSE: To explore the relationship between visual performance and retinal morphology as assessed by optical coherence tomography (OCT), and the ability of  OCT to reflect visual impairment in people with multiple sclerosis (PwMS)  compared with healthy controls (HC). METHODS: We gathered data from two neurology  referral centers on PwMS and HC. Neurological and ophthalmological assessments,  including OCT, high-contrast visual acuity (HCVA) and low-contrast visual acuity  (LCVA), area under the log contrast sensitivity function (AULCSF), and  vision-related quality of life (National Eye Institute Visual Function  Questionnaire), were conducted between 2018 and 2020, with follow-up at 1 year.  RESULTS: A total of 137 PwMS (271 eyes) and 118 HC (236 eyes) were available for  analysis. The peripapillary retinal nerve fiber layer (pRNFL) and the macular  ganglion cell layer and inner plexiform layer volume (mGCIPL) volume were both  reduced in PwMS (92 µm in PwMS vs 98 µm in HC [P &lt; 0.001], 0.55 mm3 vs 0.62 mm3  [P &lt; 0.001], respectively). A cutoff effect for visual impairment was observed in  PwMS when pRNFL fell below 68.8 µm (HCVA), 71.4 µm (LCVA), and 72.6 µm (AULCSF).  Using mixed effects models, the mGCIPL volume emerged as the variable most  strongly associated with the AULCSF (P &lt; 0.001). The AULCSF showed the strongest  correlation with both pRNFL and mGCIPL (P &lt; 0.001), with optic neuritis being a  significant contributing factor (P &lt; 0.001). CONCLUSIONS: AULCSF outperformed  standard HCVA and LCVA, closely reflecting retinal atrophy. mGCIPL loss showed  stronger associations with vision tests and detected neurodegeneration without  the cutoff effect seen in pRNFL, making it the best marker for neuronal atrophy.</t>
  </si>
  <si>
    <t>MY2RVSMI</t>
  </si>
  <si>
    <t>Multiple sclerosis OCT</t>
  </si>
  <si>
    <t>Killeen, Olivia J. et al.</t>
  </si>
  <si>
    <t>Objectively Measured Visual Impairment and Dementia Prevalence in Older Adults in the US.</t>
  </si>
  <si>
    <t>IMPORTANCE: Estimates of the association between visual impairment (VI) and dementia in the US population are based on self-reported survey data or measures  of visual function that are at least 15 years old. Older adults are at high risk  of VI and dementia so there is a need for up-to-date national estimates based on  objective assessments. OBJECTIVE: To estimate the association between VI and  dementia in older US adults based on objective visual and cognitive function  testing. DESIGN, SETTING, AND PARTICIPANTS: This secondary analysis of the 2021  National Health and Aging Trends Study (NHATS), a population-based, nationally  representative panel study, included 3817 respondents 71 years and older. Data  were analyzed from January to March 2023. INTERVENTION: In 2021, NHATS  incorporated tablet-based tests of distance and near visual acuity and contrast  sensitivity (CS) with habitual correction. MAIN OUTCOMES AND MEASURES: VI was  defined as distance visual acuity more than 0.30 logMAR, near visual acuity more  than 0.30 logMAR, and CS more than 1 SD below the sample mean. Dementia was  defined as scoring 1.5 SDs or more below the mean in 1 or more cognitive domains,  an AD8 Dementia Screening Interview Score indicating probable dementia, or  diagnosed dementia. Poisson regression estimated dementia prevalence ratios  adjusted for covariates. RESULTS: Of 2967 included participants, 1707 (weighted  percentage, 55.3%) were female, and the median (IQR) age was 76.9 (77-86) years.  The weighted prevalence of dementia was 12.3% (95% CI, 10.9-13.7) and increased  with near VI (21.5%; 95% CI, 17.7-25.3), distance VI (mild: 19.1%; 95% CI,  13.0-25.2; moderate, severe, or blind: 32.9%; 95% CI, 24.1- 41.8), and CS  impairment (25.9%; 95% CI, 20.5-31.3). Dementia prevalence was higher among  participants with near VI and CS impairment than those without (near VI  prevalence ratio: 1.40; 95% CI, 1.16-1.69; CS impairment prevalence ratio: 1.31;  95% CI, 1.04-1.66) and among participants with moderate to severe distance VI or  blindness (prevalence ratio: 1.72; 95% CI, 1.26-2.35) after adjustment for  covariates. CONCLUSIONS AND RELEVANCE: In this survey study, all types of  objectively measured VI were associated with a higher dementia prevalence. As  most VI is preventable, prioritizing vision health may be important for  optimizing cognitive function.</t>
  </si>
  <si>
    <t>IIZDYP5V</t>
  </si>
  <si>
    <t>VI and dementia prevalence</t>
  </si>
  <si>
    <t>Michels, Stephan et al.</t>
  </si>
  <si>
    <t>Off‐label drug use – price analysis for Avastin&lt;sup&gt;®&lt;/sup&gt; in ophthalmology</t>
  </si>
  <si>
    <t>International Journal of Pharmaceutical and Healthcare Marketing</t>
  </si>
  <si>
    <t>Purpose                                The use of drugs outside the approved indication, called off‐label use, is a growing phenomenon in medical practice. Especially, when a drug approved for systemic use is used locally in small quantities, the drug price per treatment can fall far below the potential value of the drug. This paper aims to outline the potential value of off‐label Avastin                 ®                 used for wet/neovascular age‐related macular degeneration (AMD), the leading cause of legal blindness in western countries.                                                        Design/methodology/approach               The van Westendorp price sensitivity measurement (PSM) method was used to find an optimal price range for an Avastin formulation potentially approved by German regulatory authorities for neovascular/wet AMD. A survey was conducted among a majority of German AMD specialists as the central part of the buying center. Germany, the largest pharmaceutical market in Europe, was selected for the study.                                         Findings               The effective total response rate was 25.1 percent (51 questionnaires).The price range found is clearly above the price for currently used “off‐label” Avastin and far below the price for other comparable drugs approved for the treatment of neovascular AMD. The van Westendorp PSM method found for Avastin used in the eye the optimal price at €95 ($131), the indifference price at €200 ($276) and the acceptable price range between €90 ($124) and €310 ($428). The discussion provides further implications for pricing strategies for new drugs.                                         Originality/value               As price sensitivity and availability of drugs have become an increasingly political and public topic, off‐label application of drugs is turning into an important challenge for the pharmaceutical industry. Taken in total, the results provide support for the view that off‐label application not only creates major threats for pharmaceutical companies, but can also offer growth opportunities.</t>
  </si>
  <si>
    <t>XZQKV8S2</t>
  </si>
  <si>
    <t>Drug pricing survey</t>
  </si>
  <si>
    <t>Selivanova, Alexandra et al.</t>
  </si>
  <si>
    <t>Outcomes After Comprehensive Vision Rehabilitation Using Vision-related Quality of Life Questionnaires: Impact of Vision Impairment and National Eye Institute  Visual Functioning Questionnaire.</t>
  </si>
  <si>
    <t>SIGNIFICANCE: This research is significant because, although vision-related quality of life (VRQoL) is improved after vision rehabilitation (VR), patients  with certain characteristics respond less positively on VRQoL measures, and this  should inform future care. PURPOSE: The purposes of this study were to evaluate  how two VRQoL questionnaires compare in measuring change in patient-reported  outcomes after VR and to determine if patient characteristics or occupational  therapy (OT) predict higher scores after rehabilitation. METHODS: In a  prospective clinical cohort study, 109 patients with low vision completed the  Impact of Vision Impairment (IVI) and the National Eye Institute Visual  Functioning Questionnaire (NEI VFQ-25) before and after VR. Comprehensive VR  included consultation with an ophthalmologist and OT if required. The  relationships of six baseline characteristics (age, sex, visual acuity, contrast  sensitivity, field loss, diagnosis) and OT were assessed with VRQoL scores using  multivariable logistic regression. RESULTS: The mean (SD) age was 68.5 (19.2)  years, and 61 (56%) were female. After rehabilitation, increases in scores were  observed in all IVI subscales (reading [P &lt; .001], mobility [P = .002],  well-being [P = .0003]) and all NEI VFQ-25 subscales (functional [P = .01],  socioemotional [P = .003]). Those who were referred to OT but did not attend and  those who had hemianopia/field loss were less likely to have higher VRQoL in IVI  mobility and well-being. Those attending OT for more than 3 hours were less  likely to have better scores in emotional NEI VFQ. Men were less likely to have  increased scores in functional and emotional NEI VFQ, whereas those with  diagnoses of nonmacular diseases had higher odds of having increased scores on  the emotional NEI VFQ (all, P &lt; .05). CONCLUSION: Both the IVI and the NEI VFQ-25  detected change in patients' VRQoL after rehabilitation. Most of the patient  characteristics we considered predicted a lower likelihood of increased scores in  VRQoL.</t>
  </si>
  <si>
    <t>P9KSSWG3</t>
  </si>
  <si>
    <t>IVI vs NEI VFQ-25 after rehabilitation; field-loss patients gained less; instrument comparison</t>
  </si>
  <si>
    <t>Outcomes of Multidisciplinary Low Vision Rehabilitation in Adults</t>
  </si>
  <si>
    <t>Investigative Opthalmology &amp; Visual Science</t>
  </si>
  <si>
    <t>Purpose: To evaluate the outcomes of multidisciplinary low vision rehabilitation (LVR) in adults with low vision (LV) in India using the Veterans Affairs Low Vision Visual Functioning Questionnaire (VA LV VFQ-48) and the Impact of Vision Impairment (IVI) questionnaire.
Methods: Consecutive adults with LV referred for the first time to the Centre for Sight Enhancement were administered the 28-item IVI and VA LV VFQ-48 before and after LVR (4 months). Rasch-scaled scores were generated for the IVI and the VA LV VFQ-48 along with each of their subscales at both the time points. Effect size (ES) was calculated using Cohen's d coefficient.
Results: Two hundred fifty-five patients completed the LVR program. Following LVR, the linear measures revealed significant improvements in vision-related quality of life (VRQoL) using the IVI at follow-up (P &lt; 0.0001), with large ES for reading and accessing information (ES = 1.0) and relatively moderate ES for overall IVI (ES = 0.63) and mobility subscale (ES = 0.53). No significant improvement was found on emotional well-being subscale (ES = 0.18; P = 0.06). Similarly, significant improvements in VRQoL (P &lt; 0.0001) were found for the VA LV VFQ-48 at follow-up, albeit moderate ES for the overall visual ability (ES = −0.67) and its subscales (reading [ES = −0.72], mobility [ES = −0.45], visual information [ES = −0.47), visual motor [ES = −0.54]).
Conclusions: Regardless of the instrument used for assessment, our multidisciplinary LVR program resulted in statistically significant improvements in visual functioning and VRQoL of those adults with LV deemed appropriate for intervention (dropout rates were high); however, the improvements were modest, and the clinical relevance of these small improvements may be limited. Nonetheless, further studies should attempt to increase the completion rates in order to draw strong inferences.</t>
  </si>
  <si>
    <t>KBPVGKTC</t>
  </si>
  <si>
    <t>LVR outcomes with VA LV VFQ-48 and IVI; instrument use in LVR</t>
  </si>
  <si>
    <t>Szlyk, Janet P. et al.</t>
  </si>
  <si>
    <t>Performance of the Veterans Affairs Low Vision Visual Functioning Questionnaire</t>
  </si>
  <si>
    <t>Journal of Visual Impairment &amp; Blindness</t>
  </si>
  <si>
    <t>The purpose of this study was to develop an instrument that would be sensitive to the visual difficulties of persons with low vision and that could be used to evaluate outcomes and plan vision rehabilitation services. Toward that end, the Veterans Affairs Low Vision Visual Functioning Questionnaire was administered to 117 participants in rehabilitation programs in Veterans Affairs medical centers and in the private sector. The results demonstrate that the questionnaire is an effective instrument for measuring vision difficulties in persons who receive low-vision rehabilitation.</t>
  </si>
  <si>
    <t>ZG6KMQX4</t>
  </si>
  <si>
    <t>Development/performance of VA LV VFQ-48; instrument table</t>
  </si>
  <si>
    <t>Nguyen, Angeline M. et al.</t>
  </si>
  <si>
    <t>Physical activity restriction in age-related eye disease: a cross-sectional study exploring fear of falling as a potential mediator.</t>
  </si>
  <si>
    <t>BMC geriatrics</t>
  </si>
  <si>
    <t>BACKGROUND: Fear of falling (FoF) is predictive of decreased physical activity. This study sought to determine if FoF mediates the relationship between decreased  vision and physical activity restriction in individuals with glaucoma and  age-related macular degeneration (AMD). METHODS: Accelerometers were used to  measure physical activity over 1 week in 59 control, 83 glaucoma, and 58 AMD  subjects. Subjects completed the University of Illinois at Chicago Fear of  Falling Questionnaire, and the extent of FoF was estimated using Rasch analysis.  In negative binomial models adjusting for demographic, health, and social  factors, FoF was investigated as a potential mediator between the severity of  visual field (VF) loss (in glaucoma patients) or the severity of contrast  sensitivity (CS) loss (in AMD patients) and decreased engagement in physical  activity, defined as minutes spent in moderate-to-vigorous physical activity  (MVPA) per day. RESULTS: In multivariate negative binomial regression models,  5-decibels worse VF mean deviation was associated with 26 % less engagement in  MVPA [rate ratio (RR) = 0.74, p &lt; 0.01] amongst glaucoma subjects. When FoF was  added to the model, the RR increased from 0.74 to 0.78, and VF loss severity  remained associated with less MVPA at a statistically significant level (p &lt;  0.01). Likewise, 0.1 log units worse CS was associated with 11 % less daily MVPA  (RR = 0.89, p &lt; 0.01) amongst AMD subjects. When FoF was added to the model, the  RR increased from 0.89 to 1.02, and CS loss was no longer associated with MVPA at  a statistically significant level (p = 0.53). CONCLUSIONS: FoF may mediate the  relationship between vision loss and physical activity restriction amongst  patients with AMD. Future work should determine optimal strategies for reducing  FoF in individuals with vision loss in order to prevent the deleterious effects  of physical activity restriction.</t>
  </si>
  <si>
    <t>ZX4Z9FJM</t>
  </si>
  <si>
    <t>Fear of falling and physical activity in glaucoma/AMD</t>
  </si>
  <si>
    <t>La Grow, Steven J.</t>
  </si>
  <si>
    <t>Predicting perceived quality of life scores from the National Eye Institute 25-item Visual Function Questionnaire.</t>
  </si>
  <si>
    <t>PURPOSE: This study set out to determine the degree to which the composite score of the National Eye Institute 25-item Visual Function Questionnaire (VFQ-25)  predicted perceived quality of life (PQoL) as measured by a single-item global  measure of quality of life (QoL) and therefore, the extent to which the two were  measuring the same construct. METHODS: Hierarchical multiple regression was used  to determine the ability of VFQ-25 to predict PQoL, while controlling for other  variables significantly correlated with PQoL. The latter were entered as  independent variables in the first step of this analysis and VFQ-25 in the  second. This model determines the degree to which VFQ-25 predicted PQoL when all  other variables were controlled for. RESULTS: Of the other variables assessed,  only general health and group affiliation were found to be significantly  correlated with PQoL. These variables, entered in step 1 of the analysis,  explained 24.3% of the variance (adjusted r = 0.243) in PQoL. When VFQ-25 was  entered in step 2, the model then explained 29.3% (adjusted r = 29.3) of the  variance or an additional 5% when the effects of the other two variables were  controlled for (r change = 0.050, p = 0.001). In other words, VFQ-25 only  predicted 5% of the variance found in PQoL. Therefore, 95% of the variance was  not explained by this measure. CONCLUSIONS: It is clear from the results of this  study that VFQ and PQoL were not measuring the same construct. It is also  apparent that the single-item global measure of QoL did indeed ask participants  to rate their PQoL. Thus, we may conclude that the measure of vision-related QoL  used in this study did not measure PQoL. Further research is required to  determine the extent to which this finding may apply to other measures of  vision-related QoL.</t>
  </si>
  <si>
    <t>2LI34Z3M</t>
  </si>
  <si>
    <t>VFQ-25 vs global quality of life; not against vision measure</t>
  </si>
  <si>
    <t>Barboni, Mirella T. S. et al.</t>
  </si>
  <si>
    <t>Preliminary Findings on the Optimization of Visual Performance in Patients with Age-Related Macular Degeneration Using Biofeedback Training.</t>
  </si>
  <si>
    <t>Applied psychophysiology and biofeedback</t>
  </si>
  <si>
    <t>Biofeedback training has been used to improve fixation stability in subjects with central vision loss, but the psychophysiological mechanisms underlying the  functional improvements resulted was not reported. The aim of this study was to  investigate the effects of microperimetric biofeedback training on different  visual functions and self-reported quality of vision in subjects with age-related  macular degeneration. This case-control study included six subjects  (72.0 ± 6.1 years of age) diagnosed with age-related macular degeneration (wet or  dry) with low vision (best corrected visual acuity ranging from 0.5 to 0.1 in the  study eye) and five healthy volunteers (64.2 ± 3.7 years of age).  Ophthalmological and functional examinations were obtained from all subjects  twice with an approximately 3-month interval. Subjects with central vision loss  performed 12 sessions (10 min each) of biofeedback training between the two  examinations. Functional evaluation included: microperimetry, spatial luminance  contrast sensitivities, color vision thresholds, visual acuity, and reading  speed. Visual performance during daily activities was also assessed using a  standardized questionnaire. The ratio (2nd/1st examination) of the spatial  luminance contrast sensitivity at lower spatial frequencies were much higher for  the training subjects compared with the controls. In addition, self-reported  quality of vision improved after the training. The significant improvement of the  visual function such as spatial luminance contrast sensitivity may explain the  better self-reported quality of vision. Possible structural and physiological  mechanisms underlying this neuromodulation are discussed.</t>
  </si>
  <si>
    <t>KG6FNR9U</t>
  </si>
  <si>
    <t>Biofeedback training in AMD</t>
  </si>
  <si>
    <t>Subhi, Yousif et al.</t>
  </si>
  <si>
    <t>Prevalence of Charles Bonnet syndrome in low vision: a systematic review and meta-analysis</t>
  </si>
  <si>
    <t>Annals of Eye Science</t>
  </si>
  <si>
    <t>Background: Charles Bonnet syndrome (CBS) is characterized by vivid lifelike visual hallucinations and is typically seen in individuals with visual impairment. In this systematic review, we summarize current knowledge on the prevalence of CBS in patients with low vision.
Methods: We searched 11 literature databases on 21 April 2021 for studies on the prevalence of CBS in low vision populations. Our protocol was registered in the PROSPERO database (reg. No. CRD42021255021). Eligible studies were defined as those on a population of low vision patients wherein the prevalence of CBS was evaluated (without any further restriction on the method for diagnosis of CBS). No restriction was enforced on study design, but we expected observational cross-sectional studies due to the nature of our research question. Two authors independently extracted data and evaluated risk of bias of individual studies using the Agency for Healthcare Research and Quality checklist for cross-sectional studies. Studies underwent qualitative review in the text and quantitatively in a prevalence meta-analysis using the random-effects model. Sensitivity analysis was made to evaluate the robustness of the summary estimate.
Results: We identified 11 studies, which summarized data on 4,521 individuals with visual impairment. Diagnosis of CBS was based on screening questions or interviews, which in positive cases often was explored in more detail with follow-up questions or interviews. Most studies either had normal mental state as a participant eligibility criterion or as a part of the diagnosis of CBS. The pooled prevalence of CBS in low vision patients aged ≥40 years was 19.7% (95% CI: 13.8% to 26.4%). The sensitivity analysis showed certain robustness in the summary prevalence estimate wherein prevalence estimates ranged from 16.9% to 22.5%.
Conclusions: CBS is a prevalent condition in patients with low vision at a rate of approximately one in five patients. Considering that an estimated 239 million individuals have moderate visual impairment or worse, we estimate a global number of patients with CBS at approximately 47.2 million.</t>
  </si>
  <si>
    <t>YNNUX5UR</t>
  </si>
  <si>
    <t>Charles Bonnet syndrome prevalence</t>
  </si>
  <si>
    <t>Gresset, Jacques et al.</t>
  </si>
  <si>
    <t>Prevalence of Visual Impairment and Utilization of Rehabilitation Services in the Visually Impaired Elderly Population of Quebec:</t>
  </si>
  <si>
    <t>Optometry and Vision Science</t>
  </si>
  <si>
    <t>Data on the prevalence of reported visual impairment and on the utilization of rehabilitation services were collected on a sample consisting of 1777 community-residing people aged at least 65 years. A visual disability was considered to be present if the answer to at least one of the following two questions was positive: Do you have trouble reading ordinary newsprint with glasses (if normally worn)? Do you have trouble clearly seeing the face of someone 12 feet away with glasses (if normally worn)? Prevalence of a reported near disability was 7.6%, prevalence of a reported distance disability was 4.4%, and 3.5% of subjects reported both types of disability. In a subsample of the surveyed population, the positive predictive value was 21% and the negative predictive value was 100%, using moderate or worse visual impairment as the gold standard. Among those answering yes to both questions, 11.4% received services from a rehabilitation center and 10.0% from a nonprofit agency. The utilization rates (adjusted to apply only to those whose visual impairment was confirmed by visual examination) reached 20% for rehabilitation centers and 17.5% for nonprofit agencies. Low utilization of rehabilitation services raises questions concerning the role of general eye care practitioners, community-based health centers, and rehabilitation centers in the rehabilitative process of the visually impaired elderly.</t>
  </si>
  <si>
    <t>ATWB4SKS</t>
  </si>
  <si>
    <t>Two self-report screening questions (newsprint, face at 12 ft) vs exam with PPV/NPV, plus rehab service use; Quebec</t>
  </si>
  <si>
    <t>Wong, Yee-Ling et al.</t>
  </si>
  <si>
    <t>Prevalence, Risk Factors, and Impact of Myopic Macular Degeneration on Visual Impairment and Functioning Among Adults in Singapore</t>
  </si>
  <si>
    <t>Purpose: To determine the prevalence, risk factors, and impact of myopic macular degeneration (MMD) on visual impairment and functioning among adults in Singapore.
Methods: A comprehensive eye examination, including subjective refraction, axial length, and visual acuity (VA) measurements, was performed in adults aged ≥40 years in the Singapore Epidemiology of Eye Diseases (SEED) study. From fundus photographs, MMD was graded using the International META-PM classification. Vision-specific functioning (VSF) was assessed with a validated visual-functioning questionnaire (VF-11) using Rasch analysis.
Results: A total of 8716 phakic subjects were included in this analysis. The mean age (± SD) was 57.2 ± 9.5 years (33.5% Malays, 33.2% Indians, and 33.3% Chinese). The prevalence of myopia (spherical equivalent [SE] ≤ −0.5 diopters [D]) and high myopia (SE ≤ −5.0 D) was 35.7% and 6.0%, respectively. The age-standardized prevalence of MMD was 3.8% (95% confidence interval [CI], 3.4–4.3%). The prevalence of MMD was 7.7% among low to moderate myopes, and 28.7% among high myopes. The prevalence of MMD increased nonlinearly with SE and age. MMD was associated with older age, more myopic SE, and lower education. Subjects with Meta-PM categories 3 or 4 in the better-seeing eye had worse best-corrected VA (β, 0.19; 95%CI, 0.16–0.23) and poorer VSF (β, −9.7; 95%CI, −17.6 to −1.8) than those without MMD after multivariate adjustments.
Conclusions: Approximately 1 in 26 phakic adults in Singapore has MMD. Older age and myopic SE are major risk factors of MMD. Severe MMD has a substantial impact on visual impairment and functioning.</t>
  </si>
  <si>
    <t>M5K6B8DE</t>
  </si>
  <si>
    <t>Myopic macular degeneration epidemiology</t>
  </si>
  <si>
    <t>Harpster, Karen L. et al.</t>
  </si>
  <si>
    <t>Preverbal visual assessment for screening cerebral visual impairment: Diagnostic accuracy and clinical utility</t>
  </si>
  <si>
    <t>Developmental Medicine &amp; Child Neurology</t>
  </si>
  <si>
    <t>Abstract                            Aim               To evaluate the relationship between Preverbal Visual Assessment (PreViAs) results and cerebral visual impairment (CVI) diagnosis.                                         Method               This single‐center retrospective chart review included children who completed a CVI interdisciplinary clinic or occupational therapy vision evaluation between May 2018 and May 2023 and had a completed PreViAs. Data were extracted from the electronic medical record. Data analysis included sensitivity, specificity, area under the curve, and Fisher's exact test.                                         Results                                Of the 205 charts screened, 98 met study criteria (81 with CVI, 17 without); ages ranged from 3 to 50 months. The mean age of children with CVI was 15.41 months (SD = 8.93) and without was 13.24 months (SD = 5.98). Among the PreViAs domains, visual processing showed the highest frequency of concern (CVI = 94%; non‐CVI = 76%), while visual attention had the lowest (CVI = 72%; non‐CVI = 41%). Visual processing demonstrated the highest sensitivity (93.8%), whereas visual attention showed the best balance of sensitivity (71.6%) and specificity (58.8%). Area under the curve ranged from 0.59 to 0.66. All domains demonstrated significant differences between children with and without CVI (Fisher's exact test,                 p                  &lt; 0.05).                                                        Interpretation               Effective screening tools are critical for detection of CVI. The PreViAs is a sensitive screening tool in children at high risk for CVI. Children with concerns on the PreViAs should be referred for an interdisciplinary CVI evaluation.</t>
  </si>
  <si>
    <t>ZZDLV4AC</t>
  </si>
  <si>
    <t>Preverbal children, CVI</t>
  </si>
  <si>
    <t>Markowitz, Samuel N.</t>
  </si>
  <si>
    <t>Principles of modern low vision rehabilitation</t>
  </si>
  <si>
    <t>Canadian Journal of Ophthalmology</t>
  </si>
  <si>
    <t>Low vision rehabilitation is a new emerging subspecialty drawing from the traditional fields of ophthalmology, optometry, occupational therapy, and sociology, with an ever-increasing impact on our customary concepts of research, education, and services for the visually impaired patient. A multidisciplinary approach and coordinated effort are necessary to take advantage of new scientific advances and achieve optimal results for the patient. Accordingly, the intent of this paper is to outline the principles and details of a modern low vision rehabilitation service.
All rehabilitation attempts must start with a firsthand interview (the intake) for assessing functionality and priority tasks for rehabilitation, as well as assessing the patient's all-important cognitive skills. The assessment of residual visual functions follows the intake and offers a unique opportunity to measure, evaluate, and document accurately the extent of functional loss sustained by the patient from disease. An accurate assessment of residual visual functions includes assessment of visual acuity, contrast sensitivity, binocularity, refractive errors, perimetry, oculomotor functions, cortical visual integration, and light characteristics affecting visual functions. Functional vision assessment in low vision rehabilitation measures how well one uses residual visual functions to perform routine tasks, using different items under various conditions, throughout the day. Of the many functional vision skills known, reading skills is an obligatory item for all low vision rehabilitation assessments.
Results of assessment guide rehabilitation professionals in developing rehabilitation plans for the individual and recommending appropriate low vision devices. The outcome from assessing residual visual functions is detection of visual functions that can be improved with the use of optical devices. Methods for prescribing devices such as image relocation with prisms to a preferred retinal locus, field displacement to primary gaze position, field expansion, and manipulation of light are practiced today in addition to, or instead of, magnification. Correction of refractive errors, occlusion therapy, enhancement of oculomotor skills, and field restitution are additional methods now available for prescribing devices leading to rehabilitation of visual functions. The outcome from assessing residual functional vision is detection of functional vision that can be improved with the use of vision therapy training. After restoration of optimal residual visual functions is achieved with optical devices, one can follow with training programs for restoration of lost vision-related skills. If an optical dispensary is available where prescribing of low vision devices routinely take place, this will help ensure familiarity and specialization of the dispensary and staff with low vision devices and their special dispensing requirements. The dispensing of low vision devices is an opportunity to introduce the device to the patient, train the patient in the correct use of the device for the task selected, and create a direct and continuous connection with the patient until the next encounter. Following assessment, prescribing, and dispensing of devices, a low vision practitioner, ophthalmologist or optometrist, is responsible for recommending and prescribing vision therapy training to improve residual functional vision.
An attempt to present a template for a comprehensive modern low vision rehabilitation practice is made here by summarizing scientific developments in the field and stressing the multidisciplinary involvement required for this kind of practice. It is hoped that this paper and other initiatives from colleagues, the public, and government will promote and raise awareness of modern low vision rehabilitation for the benefit of all.</t>
  </si>
  <si>
    <t>MWFBLLPM</t>
  </si>
  <si>
    <t>Principles of LVR (Canadian review); useful background</t>
  </si>
  <si>
    <t>Ortiz, Carolina et al.</t>
  </si>
  <si>
    <t>Quantifying age-related differences in visual-discrimination capacity: drivers with and without visual impairment.</t>
  </si>
  <si>
    <t>Applied ergonomics</t>
  </si>
  <si>
    <t>The aim of this study is to examine the effects of aging as well as visual impairment on retinal-image quality and visual performance in drivers. We use a  new visual test called Halo v1.0 software for quantifying the discrimination  capacity, an important visual function for evaluating the visual disturbances  perceived by the observer. The study included 55 subjects with normal vision and  15 older subjects with cataracts. All subjects were examined for visual acuity,  contrast sensitivity, visual-discrimination capacity and optical quality.  Subjects also completed a subjective Driving Habits Questionnaire (DHQ). Older  drivers with and without visual impairment showed significantly (p &lt; 0.05) worse  visual performance and deteriorated retinal-image quality, even when their  binocular visual acuity was ≥20/25. In conclusion, some visual functions are  considerably diminished in older drivers, even when visual acuity is sufficient  to get or renew a driver's license. Halo software enables easy quantification of  night-vision disturbances such as halos, which could impede the detection of  pedestrians, cyclists, or traffic signals, thereby making this system advisable  in clinical practice, e.g. in the requirements for a driver's license,  particularly for older drivers.</t>
  </si>
  <si>
    <t>KMXBA2N9</t>
  </si>
  <si>
    <t>Halo discrimination test in drivers</t>
  </si>
  <si>
    <t>Murro, Vittoria et al.</t>
  </si>
  <si>
    <t>Reading Ability and Quality of Life in Stargardt Disease.</t>
  </si>
  <si>
    <t>European journal of ophthalmology</t>
  </si>
  <si>
    <t>PURPOSE: To study the reading performance of patients with Stargardt disease (STGD) and the relationship between clinical vision measurements and  vision-related quality of life (VRQOL). METHODS: We studied both eyes of 16  patients with STGD. Each patient was examined for best-corrected visual acuity  (Early Treatment Diabetic Retinopathy Study [ETDRS]), reading ability (MNREAD and  REX charts), contrast sensitivity (Pelli-Robson charts), fixation study (MP1  microperimeter), and VRQOL (25-item National Eye Institute Visual Function  Questionnaire [NEI VFQ-25]). The correlation pattern among these variables was  examined and an exploratory factor analysis was used to investigate  dimensionality of both visual function and VRQOL. RESULTS: Mean ETDRS visual  acuity was about 20/160 (0.9 logMAR). All studied psychophysical measures were  highly or moderately correlated with MNREAD reading speed (p&lt;0.05 level). A  similar correlation was found between psychophysical measures and VRQOL, which  was higher for MNREAD measures of acuity (r = -0.75) and speed (r = 0.74).  Accordingly, exploratory factor analysis suggested that a single latent dimension  explained most of the variance of vision psychophysical measures as well as of  VRQOL. CONCLUSIONS: We propose that reading ability should be assessed in  patients with STGD, since we found that both MNREAD reading speed and visual  acuity are strong determinants of quality of life. The observed relation between  reading ability and VRQOL in STGD suggests that in these patients appropriate low  vision rehabilitation can improve both reading performance and consequently  VRQOL. Finally, our data support the use of reading speed and visual acuity as  important outcome measures for monitoring STGD progression.</t>
  </si>
  <si>
    <t>DCSCHVIU</t>
  </si>
  <si>
    <t>VFQ-25 correlated with reading/vision measures in Stargardt disease; small sample</t>
  </si>
  <si>
    <t>Smith, Theresa Marie</t>
  </si>
  <si>
    <t>Refinement of the Low Vision Independence Measure: A Qualitative Study</t>
  </si>
  <si>
    <t>Physical &amp; Occupational Therapy In Geriatrics</t>
  </si>
  <si>
    <t>Purpose: The purpose of this qualitative study was to improve clinical utility of the Low Vision Independence Measure (LVIM) and strengthen its content validity. Methods: A two-part qualitative emergent design was used. Low vision therapists’ opinions were collected first with a questionnaire and then with a focus group. Results: Findings indicated that clinical utility of the LVIM could be improved by adding comment sections and moving some of its items or subsections. The content validity of the LVIM could be strengthened through the additions of new items to some subsections, new subsections, and item lists, as well as rewording of some items. Therapists acknowledged current LVIM strengths of client-centeredness, ability to identify problem areas upon which to formulate a plan of care, versatility for use in different treatment settings, efficient administration, and cultural sensitivity. Conclusions: Further research is needed on the refined LVIM to establish its psychometric properties.</t>
  </si>
  <si>
    <t>LD3AX9LG</t>
  </si>
  <si>
    <t>Qualitative refinement of LVIM; no psychometrics</t>
  </si>
  <si>
    <t>Macnaughton, Jane et al.</t>
  </si>
  <si>
    <t>Rehabilitation needs and activity limitations of adults with a visual impairment entering a low vision rehabilitation service in England.</t>
  </si>
  <si>
    <t>PURPOSE: To evaluate outcome measures of the Participation and Activity Inventory (PAI) in a sample of adults with acquired visual impairment entering vision  rehabilitation. Both Priority Scores, indicating level of rehabilitative need,  and Person Measures, indicating goal difficulty, were considered. METHODS:  Participants were newly registered adults with visual impairment within  Leicestershire, United Kingdom. The importance and difficulty of 48 goals of the  PAI were assessed, as were demographic factors, clinical visual function (visual  acuity, contrast sensitivity, reading function) and psychosocial function  (adjustment to visual loss, depression, anxiety and fear of falling). Priority  scores were calculated as the product of importance and difficulty of each goal.  All questionnaires were Rasch analysed, and person and item measures of perceived  difficulty with goals were derived. RESULTS: Sixty people (mean  age ± S.D. = 75.8 ± 13.8 years) took part. PAI goals with greatest rehabilitative  need were reading (6.82 ± 2.91), mobility outdoors (6.55 ± 3.92), mobility  indoors within an unfamiliar environment (5.52 ± 3.93) and writing (5.27 ± 3.02).  Greater rehabilitative need was associated with younger age (β = -0.46,  p &lt; 0.001), and with higher depressive symptomatology (β = 0.35, p &lt; 0.01; model  R(2) 34%). Goals with greatest difficulty were mending clothing (-1.95 ± 0.35  logits) and hobbies and crafts (-1.32 ± 0.23 logits). Greater difficulty was  associated with higher depressive symptomatology (β = 0.39, p &lt; 0.001), lower  visual acuity (β = 0.42, p &lt; 0.001) and lower adjustment of visual loss  (β = 0.31, p &lt; 0.01; model R(2) 53%). CONCLUSIONS: Key rehabilitation needs for  adults at entry to services require both optical and non-optical interventions.  As rehabilitative need was not associated with the level of visual impairment,  eyecare professionals should not wait until the end of medical treatment before  referral for support. Similarly, rehabilitative need was associated with younger  age, indicating the importance to refer younger people with sight loss at an  early stage. The use of structured assessment, such as the PAI, ensures goals  that have an impact upon quality of life are specifically identified. Depression  screening on entry to rehabilitation is relevant as it predicts both perceived  difficulty and rehabilitative need.</t>
  </si>
  <si>
    <t>QAYXVVNU</t>
  </si>
  <si>
    <t>Participation and Activity Inventory for rehabilitation need at LVR entry</t>
  </si>
  <si>
    <t>Donoghue, Orna A. et al.</t>
  </si>
  <si>
    <t>Relationship between fear of falling and mobility varies with visual function among older adults.</t>
  </si>
  <si>
    <t>Geriatrics &amp; gerontology international</t>
  </si>
  <si>
    <t>AIM: The present study examined the association between vision, fear of falling and fear-related activity restriction, and assessed the effect of vision on the  relationship between fear of falling and mobility, using data from a nationally  representative sample of community-dwelling adults aged ≥ 50 years. METHODS:  Participants (n=5003) completed an interview and health assessment (including  Timed Up-and-Go, vision and cognitive tests). Visual acuity and contrast  sensitivity were assessed using an Early Treatment Diabetic Retinopathy Study  logMAR chart and Functional Vision Analyzer, respectively. Participants  self-reported their vision as excellent, very good, good, fair or poor. They were  assigned to no fear of falling, fear without activity restriction and fear with  activity restriction groups. Logistic regression models examined the relationship  between vision, fear of falling and activity restriction. Linear regression  models were used to examine the main and interaction effects of fear of falling,  self-reported vision, visual acuity, and contrast sensitivity on mobility after  adjusting for confounders. RESULTS: Poorer self-reported vision was independently  associated with fear of falling and fear-related activity restriction (P&lt;0.05),  but visual acuity and contrast sensitivity were not. Participants with the lowest  visual acuity and contrast sensitivity levels, combined with fear-related  activity restriction, had slower Timed Up-and-Go than those in the highest visual  performance quartiles (P&lt;0.05). CONCLUSIONS: Participants' perceptions of visual  function were related to fear of falling and activity restriction, but this was  not explained by other visual factors measured here. However, poorer visual  acuity and contrast sensitivity did moderate the relationship between  fear-related activity restriction and mobility, highlighting the importance of a  comprehensive vision assessment especially in individuals with fear of falling.</t>
  </si>
  <si>
    <t>V9ZSNLAF</t>
  </si>
  <si>
    <t>Fear of falling and mobility</t>
  </si>
  <si>
    <t>Malkin, Alexis G. et al.</t>
  </si>
  <si>
    <t>Responsiveness of the EQ‐5D to the Effects of Low Vision Rehabilitation</t>
  </si>
  <si>
    <t>ABSTRACT                            Purpose               This study is an evaluation of the responsiveness of preference‐based outcome measures to the effects of low vision rehabilitation (LVR). It assesses LVR‐related changes in EQ‐5D utilities in patients who exhibit changes in Activity Inventory (AI) measures of visual ability.                                         Methods               Telephone interviews were conducted on 77 low‐vision patients out of a total of 764 patients in the parent study of “usual care” in LVR. Activity Inventory results were filtered for each patient to include only goals and tasks that would be targeted by LVR.                                         Results                                The EQ‐5D utilities have weak correlations with all AI measures but correlate best with AI goal scores at baseline (                 r                 = 0.48). Baseline goal scores are approximately normally distributed for the AI, but EQ‐5D utilities at baseline are skewed toward the ceiling (median, 0.77). Effect size for EQ‐5D utility change scores from pre‐ to post‐LVR was not significantly different from zero. The AI visual function ability change scores corresponded to a moderate effect size for all functional domains and a large effect size for visual ability measures estimated from AI goal ratings.                                                        Conclusions               This study found that the EQ‐5D is unresponsive as an outcome measure for LVR and has poor sensitivity for discriminating low vision patients with different levels of ability.</t>
  </si>
  <si>
    <t>PMK83XQY</t>
  </si>
  <si>
    <t>EQ-5D responsiveness to LVR</t>
  </si>
  <si>
    <t>Smith, Theresa M. et al.</t>
  </si>
  <si>
    <t>Responsiveness of the Revised Low Vision Independence Measure (LVIM–R)</t>
  </si>
  <si>
    <t>American Journal of Occupational Therapy</t>
  </si>
  <si>
    <t>Importance:               The Low Vision Independence Measure (LVIM) was designed to measure the effectiveness of occupational therapy to improve visual ability in low vision rehabilitation.                                         Objective:               To validate the Revised LVIM (LVIM–R) as an outcome measure by determining its sensitivity to visual ability changes after occupational therapy.                                         Design:               In this observational study, LVIM–R scores were collected before and after customary low vision intervention.                                         Setting:               Home health agency or outpatient facility.                                         Participants:               Forty-four participants with a mean age of 80.2 yr (standard deviation = 11.2) and an average length of visual impairment of 6.2 yr. Twenty-three participants (52.3%) were treated in an outpatient setting, and 21 (47.7%) were treated in the home. The majority of participants were non-Hispanic White (92.8%) and had macular degeneration (54.5%).                                         Intervention:               Customary low vision intervention by occupational therapists.                                         Outcomes and Measures:               LVIM–R scores were collected before and after intervention, and participants’ pre- and posttest scores were anchored into Rasch-calibrated item parameters.                                         Results:               Paired               t               tests demonstrated significant increases in person measures with large effect sizes for both constructs of the LVIM–R, the visual field or scotoma (               t               [43] = 6.46,               p               &lt; .0001; Cohen’s               d               = 0.92) and visual acuity (               t               [43] = 9.08,               p               &lt; .0001; Cohen’s               d               = 1.14) constructs.                                         Conclusions and Relevance:               The LVIM–R is sensitive to changes in visual ability in clients who have good rehabilitation potential and can be used to examine the effectiveness of occupational therapy for low vision.                                         What This Article Adds:               The LVIM–R is useful for measuring occupational therapy outcomes in low vision rehabilitation in the home or in outpatient settings.</t>
  </si>
  <si>
    <t>PPNS84BH</t>
  </si>
  <si>
    <t>LVIM-R responsiveness in OT low vision intervention; instrument table</t>
  </si>
  <si>
    <t>Wood, Joanne M. et al.</t>
  </si>
  <si>
    <t>Risk of falls, injurious falls, and other injuries resulting from visual impairment among older adults with age-related macular degeneration.</t>
  </si>
  <si>
    <t>PURPOSE: Age-related macular degeneration (AMD) is the leading cause of irreversible visual impairment among older adults. This study explored the  relationship between AMD, fall risk, and other injuries and identified visual  risk factors for these adverse events. METHODS: Participants included 76  community-dwelling individuals with a range of severity of AMD (mean age, 77.0 ±  6.9 years). Baseline assessment included binocular visual acuity, contrast  sensitivity, and merged visual fields. Participants completed monthly falls and  injury diaries for 1 year after the baseline assessment. RESULTS: Overall, 74% of  participants reported having either a fall or a non-fall-related injury.  Fifty-four percent of participants reported a fall and 30% reported more than one  fall; of the 102 falls reported, 63% resulted in an injury. Most occurred  outdoors (52%), between late morning and late afternoon (61%) and when navigating  on level ground (62%). The most common non-fall-related injuries were lacerations  (36%) and collisions with an object (35%). Reduced contrast sensitivity and  visual acuity were associated with increased fall rate, after controlling for  age, sex, cognitive function, cataract severity, and self-reported physical  function. Reduced contrast sensitivity was the only significant predictor of  non-fall-related injuries. CONCLUSIONS: Among older adults with AMD, increased  visual impairment was significantly associated with an increased incidence of  falls and other injuries. Reduced contrast sensitivity was significantly  associated with both increased rates of falls and other injuries, while reduced  visual acuity was only associated with increased fall rate. These findings have  important implications for the assessment of visually impaired older adults.</t>
  </si>
  <si>
    <t>2FC8Z25H</t>
  </si>
  <si>
    <t>Falls in AMD</t>
  </si>
  <si>
    <t>Peters, Betts et al.</t>
  </si>
  <si>
    <t>SSVEP BCI and Eye Tracking Use by Individuals With Late-Stage ALS and Visual Impairments</t>
  </si>
  <si>
    <t>Frontiers in Human Neuroscience</t>
  </si>
  <si>
    <t>Access to communication is critical for individuals with late-stage amyotrophic lateral sclerosis (ALS) and minimal volitional movement, but they sometimes present with concomitant visual or ocular motility impairments that affect their performance with eye tracking or visual brain-computer interface (BCI) systems. In this study, we explored the use of modified eye tracking and steady state visual evoked potential (SSVEP) BCI, in combination with the Shuffle Speller typing interface, for this population. Two participants with late-stage ALS, visual impairments, and minimal volitional movement completed a single-case experimental research design comparing copy-spelling performance with three different typing systems: (1) commercially available eye tracking communication software, (2) Shuffle Speller with modified eye tracking, and (3) Shuffle Speller with SSVEP BCI. Participant 1 was unable to type any correct characters with the commercial system, but achieved accuracies of up to 50% with Shuffle Speller eye tracking and 89% with Shuffle Speller BCI. Participant 2 also had higher maximum accuracies with Shuffle Speller, typing with up to 63% accuracy with eye tracking and 100% accuracy with BCI. However, participants’ typing accuracy for both Shuffle Speller conditions was highly variable, particularly in the BCI condition. Both the Shuffle Speller interface and SSVEP BCI input show promise for improving typing performance for people with late-stage ALS. Further development of innovative BCI systems for this population is needed.</t>
  </si>
  <si>
    <t>Z35HPUJ4</t>
  </si>
  <si>
    <t>ALS communication devices</t>
  </si>
  <si>
    <t>Wu, Yueh-Hsun et al.</t>
  </si>
  <si>
    <t>Screening Questions to Identify Low Vision and Acuity-Defined Legal Blindness.</t>
  </si>
  <si>
    <t>PURPOSE: Visual screening is important in public health, but visual acuity (VA) testing is costly at scale. We used items from a validated VA survey with 100  yes/no questions to identify screening questions for low vision (VA ≤ 0.3 logMAR  or 20/40) and legal blindness as defined by the VA criterion (VA ≤ 1 logMAR or  20/200). METHODS: We analyzed data from 385 adults with measured VA who completed  the survey. Participants were classified positive if they answered "no" to  selected single, pair, and triplet items for each threshold. We computed  sensitivity, specificity, and area under the curve (AUC). RESULTS: For low  vision, "In a fast-food restaurant, can you read the posted menus?" yielded AUC =  0.85 (sensitivity = 0.89; specificity = 0.81). For legal blindness, "When seated  in front of a computer, are you able to read the letters on the keyboard keys?"  produced AUC = 0.80 (sensitivity = 0.89; specificity = 0.71). For both screening  thresholds, adding a second item increased AUC by ≤0.05; a third item gave no  further improvement. CONCLUSIONS: One targeted question can screen for low vision  or acuity-defined legal blindness with good discrimination; a two-item pair  offers a compact option when higher specificity is desired. These brief,  functional screens are practical when in-person VA testing is impractical.</t>
  </si>
  <si>
    <t>K8T5MJ7T</t>
  </si>
  <si>
    <t>ANCHOR PAPER: menu and keyboard screening questions vs acuity</t>
  </si>
  <si>
    <t>Chou, Roger et al.</t>
  </si>
  <si>
    <t>Screening for Visual Impairment in Older Adults: Systematic Review to Update the 1996 U.S. Preventive Services Task Force Recommendation</t>
  </si>
  <si>
    <t>BACKGROUND: Impaired visual acuity is common in older adults. Screening for impaired visual acuity in primary care settings could identify older adults who  are unaware of or do not report vision problems, and lead to interventions to  improve vision, function and quality of life. PURPOSE: To assess the effects of  screening for impaired visual acuity in primary care settings in older (age &gt; 65  years) adults. DATA SOURCES: We searched the Cochrane Controlled Trials Registry  and Cochrane Database of Systematic Reviews (through 3rd Quarter 2008) and  MEDLINE database (1996 – July 2008) for relevant studies and meta-analyses. We  supplemented electronic searches with reviews of reference lists of relevant  articles and solicited additional citations from experts. STUDY SELECTION: We  selected randomized trials and controlled observational studies that directly  evaluated screening for impaired visual acuity in older adults. To evaluate  indirect evidence on screening, we also included studies evaluating the  diagnostic accuracy of screening tests for impaired visual acuity used in primary  care settings, and randomized trials and controlled observational studies of  treatments for impaired visual acuity due to refractive errors, cataracts, and  age-related macular degeneration that reported clinical outcomes (visual acuity,  quality of life, functional capacity, adverse events, or mortality). DATA  EXTRACTION: One investigator abstracted data and a second investigator checked  data abstraction for accuracy. Two investigators independently assessed study  quality using methods developed by the United States Preventive Services Task  Force. DATA SYNTHESIS (RESULTS): Direct evidence from three fair-quality cluster  randomized trials (N=4,728) found vision screening as part of multi-component  primary care intervention associated with no benefits compared to usual care,  delayed screening, or no screening on visual acuity or other clinical outcomes.  One randomized controlled trial found vision screening by an ophthalmologist in  frail older adults associated with an increased risk of falls (relative risk  1.57, 95% CI 1.20 to 2.05) and a trend towards increased risk of fractures  (relative risk 1.74, 95% CI 0.97 to 3.11). No other trial evaluated harms  associated with screening, and no studies evaluated optimal screening intervals.  Four studies found screening questions associated with low accuracy compared to  visual acuity testing or an ophthalmologic examination for identification of  vision impairment and four studies found visual acuity testing associated with  low accuracy compared to an ophthalmologic examination for identification of any  visual condition. Evidence on the diagnostic accuracy of the Amsler grid is  limited to one study, and no studies evaluated diagnostic accuracy or utility of  fundoscopic examination in primary care settings. A large population-based study  found that about 60% of older adults with vision impairment could achieve visual  acuity of 20/40 or better with refractive correction. Based on numerous  observational studies, over 90% of patients undergoing cataract surgery achieve  visual acuity of 20/40 or better. Antioxidant vitamins and minerals are more  effective than placebo for reducing progression of dry age-related macular  degeneration (adjusted odds ratio 0.68, 99% CI 0.49 to 0.93), though conclusions  are largely influenced by results of a single, large, good-quality trial. For wet  age-related macular degeneration, laser photocoagulation (relative risk 0.67 for  6+ lines visual acuity loss; 95% CI 0.53 to 0.83, five trials), photodynamic  therapy (relative risk 0.22 for 3+ lines visual acuity loss, 95% CI 0.13 to 0.30,  three trials), and vascular endothelin growth factor inhibitors (for 3+ lines  visual acuity loss: pegaptanib [two trials] relative risk 0.71, 95% CI 0.61 to  0.84; ranibizumab [two trials] relative risk 0.21, 95% CI 0.16 to 0.27) are  superior to placebo for prevention of visual acuity loss, though evidence on  laser photocoagulation is limited by methodological shortcomings. Harms of  commonly used interventions for uncorrected refractive error, cataract, and  age-related macular degeneration appear to be substantially outweighed by  benefits, though data on long-term benefits and harms of photodynamic therapy and  vascular endothelin growth factor inhibitors are limited. LIMITATIONS: We  excluded non-English language studies, could not evaluate for publication bias  because of small numbers of trials, included previously published systematic  reviews on treatments that met quality threshold criteria, and did not construct  outcomes tables. CONCLUSIONS: Direct evidence is relatively limited, but shows  that screening for impaired visual acuity in older adults in primary care  settings is not associated with improved visual or other clinical outcomes and  may be associated with unintended harms such as increased risk of falls.  Effective treatments (benefits outweigh harms) are available for uncorrected  refractive error, cataracts, and age-related macular degeneration. The Snellen  chart is the standard for screening for impaired visual acuity in primary care,  but its diagnostic accuracy is difficult to assess because a clinically relevant  reference standard is not established. There remains no evidence on accuracy of  fundoscopic examination by primary care providers. More research is needed to  understand why the direct evidence on vision screening in older adults shows no  benefit, despite the availability of effective treatments for common conditions  associated with impaired visual acuity.</t>
  </si>
  <si>
    <t>8E779EI5</t>
  </si>
  <si>
    <t>USPSTF systematic review incl. diagnostic accuracy of screening questions vs acuity testing</t>
  </si>
  <si>
    <t>Ortibus, E. et al.</t>
  </si>
  <si>
    <t>Screening for cerebral visual impairment: value of a CVI questionnaire.</t>
  </si>
  <si>
    <t>Neuropediatrics</t>
  </si>
  <si>
    <t>The objective of the study was to investigate the screening utility of a questionnaire for cerebral visual impairment (CVI) by correlating the  questionnaire with diagnostic tools such as the L94, the Test of Visual  Perceptual Skills - Revised and the Visual Perception subtask of the Beery test  of VisuoMotor Integration.The questionnaire consisted of 46 items, exploring  different characteristics of CVI. We consecutively recruited 91 children. Parents  filled out the questionnaire after which all children were seen for a diagnostic  evaluation of CVI.There were 58 boys. Subjects' mean age was 6.10 years. A median  of 12 items was ticked in the 45 children with CVI and 7 in the children without  impairment. The domain 'visual attitude' scored positive most frequently. A  logistic regression model using individual items, yielded Receiver Operating  Curves for the questionnaire with good areas under the curve of 0.81 against the  L94, 0.78 against the TVPS-R and 0.84 against the VP subtask. The sum score of  the 6 domains was found to be an easy-obtainable score with a good sensitivity  and specificity profile.This CVI questionnaire is a viable tool that has the  potential of being implemented as part of a routine screening procedure for CVI.</t>
  </si>
  <si>
    <t>D3IXKL94</t>
  </si>
  <si>
    <t>Children, CVI questionnaire</t>
  </si>
  <si>
    <t>Massof, Robert W. et al.</t>
  </si>
  <si>
    <t>Self-reported importance and difficulty of driving in a low-vision clinic population.</t>
  </si>
  <si>
    <t>PURPOSE: To validate estimates of self-perceived driving ability from difficulty ratings of driving tasks and to determine the association of the importance and  difficulty of driving with the magnitude of visual impairments. METHODS: A  consecutive series of 851 patients at a low-vision clinic rated the importance of  driving on a four-point scale. Those who gave nonzero importance ratings then  rated driving difficulty on a five-point scale. Those who gave nonzero difficulty  ratings then rated the difficulty of each of 21 driving tasks on a five-point  scale. Visual acuity was measured with the Early Treatment of Diabetic  Retinopathy Study (ETDRS) chart, and contrast sensitivity was measured with the  Pelli-Robson chart. Rasch analysis was used to test the validity and reliability  of self-perceived driving ability estimates from difficulty ratings of tasks.  RESULTS: Patients who rated driving as not important (41%) had worse visual  acuity (logMAR = 0.88) and worse contrast sensitivity (log CS = 0.83) than did  those who rated driving as extremely important (55%; logMAR = 0.62; log CS =1.03;  multivariate analysis of variance [MANOVA]; P = 0.003). Self-perceived driving  ability correlated negatively with the overall rating of driving difficulty (r =  -0.69; P &lt; 0.001) and with logMAR (r = -0.28; P &lt; 0.001), and correlated  positively with log CS (r = 0.35; P &lt; 0.001). The most difficult driving tasks  were navigating in parking ramps, parking in the correct space, seeing lane  markings, and reading signs. The least-difficult driving tasks were seeing  traffic and reading the speedometer. Rasch analysis confirmed instrument validity  and reliability. CONCLUSIONS: Low-vision patients appeared to devalue the goal of  driving when visual impairments were more severe. Valid measures of  self-perceived driving ability can be estimated from difficulty ratings of  specific driving tasks.</t>
  </si>
  <si>
    <t>Z4LADUPS</t>
  </si>
  <si>
    <t>Self-perceived driving ability in LV clinic</t>
  </si>
  <si>
    <t>Bozkurt Oflaz, Ayşe et al.</t>
  </si>
  <si>
    <t>Short-Term Clinical Results of Preferred Retinal Locus Training.</t>
  </si>
  <si>
    <t>Turkish journal of ophthalmology</t>
  </si>
  <si>
    <t>OBJECTIVES: This study evaluated acoustic biofeedback training using microperimetry in patients with foveal scars and an eligible retinal locus for  better fixation. MATERIALS AND METHODS: A total of 29 eligible patients were  enrolled in the study. The acoustic biofeedback training module in the MAIA  (Macular Integrity Assessment, CenterVue®, Italy) microperimeter was used for  training. To determine the treatment efficacy, the following variables were  compared before and after testing: best corrected visual acuity (BCVA); MAIA  microperimeter full threshold 4-2 test parameters of average threshold value,  fixation parameters P1 and P2, and bivariate contour ellipse area (BCEA) for 63%  and 95% of fixation points; contrast sensitivity (CSV 1000E Contrast Sensitivity  Test); reading speed using the Minnesota Low-Vision Reading Test (MNREAD reading  chart); and quality of life (NEI-VFQ-25). In addition, fixation stability  parameters were recorded during each session. RESULTS: The study group consisted  of 29 patients with a mean age of 68.72±8.34 years. Median BCVA was initially 0.8  (0.2-1.6) logMAR and was 0.8 (0.1-1.6) logMAR after 8 weeks of preferred retinal  locus training (p=0.003). The fixation stability parameter P1 improved from a  mean of 21.28±3.08% to 32.69±3.69% (p=0.001) while mean P2 improved from  52.79±4.53% to 68.31±3.89% (p=0.001). Mean BCEA 63% decreased from 16.11±2.27(°2)  to 13.34±2.26(°2) (p=0.127) and mean BCEA 95% decreased from 45.87±6.72(°2) to  40.01±6.78(°2) (p=0.247) after training. Binocular reading speed was 38.28±6.25  words per minute (wpm) before training and 45.34±7.35 wpm after training  (p&lt;0.001). Statistically significant improvement was observed in contrast  sensitivity and quality of life questionnaire scores after training. CONCLUSION:  Beginning with the fifth session, biofeedback training for a new trained retinal  locus improved average sensitivity, fixation stability, reading speed, contrast  sensitivity, and quality of life in patients with macular scarring.</t>
  </si>
  <si>
    <t>9NKJX8UT</t>
  </si>
  <si>
    <t>PRL training</t>
  </si>
  <si>
    <t>Subramanian, Ahalya et al.</t>
  </si>
  <si>
    <t>Spatial localization in visual impairment.</t>
  </si>
  <si>
    <t>PURPOSE: To investigate self-reported difficulties experienced by visually impaired subjects in real-world tasks requiring judgment of space and distance  and to determine whether laboratory measures of spatial localization predict  self-reported difficulty with spatial tasks better than traditional measures of  visual function, such as visual acuity and contrast sensitivity. METHODS:  Forty-two subjects with visual impairment participated. The Spatial Localization  Questionnaire (SLQ) was developed to investigate self-reported spatial  localization difficulties, and subjects answered the questionnaire as part of the  study. Subjects also completed a variety of clinical vision tests (visual acuity,  contrast sensitivity, stereo acuity, and reading speed) and laboratory vision  tests (vernier acuity, bisection acuity, and visual direction). RESULTS: The SLQ  was found to have good validity. Several significant correlations were found  between the Rasch analysis ability scores for the questionnaire and the clinical  and laboratory vision tests. Using stepwise regression analysis, we found that  vernier acuity and contrast sensitivity accounted for 42% of the variance in the  Rasch scores (P &lt; 0.001). CONCLUSIONS: The findings indicate that certain  subjects with visual impairment have difficulty with real-world spatial tasks, as  indicated by the SLQ. Of note, these difficulties were better predicted by  vernier acuity (a resolution test) and contrast sensitivity, rather than vernier  or bisection bias, which measure localization.</t>
  </si>
  <si>
    <t>S2PGY4DT</t>
  </si>
  <si>
    <t>Spatial localisation questionnaire; not relevant to LVR screening</t>
  </si>
  <si>
    <t>Ortiz-Peregrina, Sonia et al.</t>
  </si>
  <si>
    <t>Speed management across road environments of varying complexities and self-regulation behaviors in drivers with cataract.</t>
  </si>
  <si>
    <t>Scientific reports</t>
  </si>
  <si>
    <t>Evidence suggests that drivers with cataract self-regulate their driving, but there is a lack of objective information. This study compared speed behavior in  older drivers with and without cataract and how the parameter is influenced by  road traffic complexity and driver characteristics. The study included 15 drivers  with cataract and a control group of 20 drivers. Visual status was assessed using  visual acuity, contrast sensitivity, and intraocular straylight. Speed management  was studied using a driving simulator. Driving difficulty and self-regulation  patterns were evaluated by means of the Driver Habits Questionnaire (DHQ). The  cataract group showed a significant decrease in visual function in all the  parameters evaluated (p &lt; 0.05). These drivers tended to drive at lower speeds  than the control group. Road characteristics, gender, and intraocular straylight  in the better eye were identified as significant predictors of speed management.  Drivers with cataract experience greater driving difficulty, particularly when  driving at night (p &lt; 0.05). Drivers with cataract reduce their driving speed  more than older drivers without visual impairment. The straylight parameter may  be a good indicator of each driver's subjective perception of their own visual  ability to drive. This work helps shed light on the mechanisms through which  age-related visual impairment influences driving behavior.</t>
  </si>
  <si>
    <t>Q5YQZTDR</t>
  </si>
  <si>
    <t>Cataract drivers simulator</t>
  </si>
  <si>
    <t>The Basic VRS-Effect Study: Clinical Trial Outcomes and Cost-Effectiveness of Low Vision Rehabilitation in Portugal</t>
  </si>
  <si>
    <t>Ophthalmology and Therapy</t>
  </si>
  <si>
    <t>Introduction
The aim of this study was twofold: (1) to investigate the clinical impact of vision rehabilitation in patients with vision impairment and (2) to investigate the cost-effectiveness of a basic vision rehabilitation service in Portugal.
Methods
The trial recruited patients diagnosed with age-related macular degeneration or diabetic retinopathy (DR) and visual acuity in the range 0.4–1.0logMAR in the better-seeing eye. Participants were randomised to one of the study arms consisting of immediate intervention and delayed intervention. The intervention included: new refractive correction, optical reading aids, in-office training and advice about modifications at home. Visual ability, health-related quality of life and costs were measured. Economic analysis was performed to evaluate whether the intervention was cost-effective. The trial compared the outcomes 12 weeks after the start in both arms.
Results
Of the 46 participants, 34 (74%) were diagnosed with DR, 25 (54%) were female, and mean age was 70.08 years (SD = 8.74). In the immediate intervention arm visual ability increased a mean of 0.523 logits (SE = 0.11) (p &lt; 0.001). Changes in the delayed intervention arm were not statistically significant (p = 0.95). Acuity in the better-seeing eye, near acuity and critical print size also improved during the study. The mean cost of the intervention was €118.79 (SD = 24.37). The incremental cost-effectiveness ratio using the EQ-5D-5L was 30,421€/QALY and 1186€/QALY when using near acuity.
Conclusion
The current study gives evidence of positive clinical impact of a basic vision rehabilitation intervention and shows that a basic vision rehabilitation service is cost-effective. These findings are important to clinical and rehabilitation practices and for planning vision rehabilitation services.</t>
  </si>
  <si>
    <t>N2ZLBSR2</t>
  </si>
  <si>
    <t>Vision rehabilitation trial outcomes</t>
  </si>
  <si>
    <t>Mahanna-Gabrielli, Elizabeth et al.</t>
  </si>
  <si>
    <t>The Effect of Self-Reported Visual Impairment and Sleep on Cognitive Decline: Results of the Hispanic Community Health Study/Study of Latinos</t>
  </si>
  <si>
    <t>Journal of Alzheimer's Disease</t>
  </si>
  <si>
    <t>Background: Visual impairment could worsen sleep/wake disorders and cognitive decline. Objective: To examine interrelations among self-reported visual impairment, sleep, and cognitive decline in the Hispanic Community Health Study/Study of Latinos (HCHS/SOL) Miami-site. Method: HCHS/SOL Miami-site participants ages 45–74 years (n = 665) at Visit-1, who returned for cognitive test 7-years later (SOL-INCA). Participants completed the National Eye Institute Visual Functioning Questionnaire (NEI-VFQ), validated sleep questionnaires and test for obstructive sleep apnea (OSA) at Visit-1. We obtained verbal episodic learning and memory, verbal fluency, processing speed, and executive functioning at Visit-1 and at SOL-INCA. Processing speed/executive functioning were added to SOL-INCA. We examined global cognition and change using a regression-based reliable change index, adjusting for the time lapse between Visit-1 and SOL-INCA. We used regression models to test whether 1) persons with OSA, self-reported sleep duration, insomnia, and sleepiness have an increased risk for visual impairment, 2a) visual impairment is associated with worse cognitive function and/or decline, and 2b) sleep disorders attenuate these associations. Result: Sleepiness (β= 0.04; p &lt; 0.01) and insomnia (β= 0.04; p &lt; 0.001) were cross-sectionally associated with visual impairment, adjusting for sociodemographic characteristics, behavioral factors, acculturation, and health conditions. Visual impairment was associated with lower global cognitive function at Visit-1 (β= –0.16; p &lt; 0.001) and on average 7-years later (β= –0.18; p &lt; 0.001). Visual impairment was also associated with a change in verbal fluency (β= –0.17; p &lt; 0.01). OSA, self-reported sleep duration, insomnia, and sleepiness did not attenuate any of the associations. Conclusion: Self-reported visual impairment was independently associated with worse cognitive function and decline.</t>
  </si>
  <si>
    <t>C7AY3S79</t>
  </si>
  <si>
    <t>Cognitive decline and sleep</t>
  </si>
  <si>
    <t>Wittich, Walter et al.</t>
  </si>
  <si>
    <t>The Effect of a Head-mounted Low Vision Device on Visual Function.</t>
  </si>
  <si>
    <t>SIGNIFICANCE: Head-mounted low vision devices have received considerable attention in recent years owing to rapidly developing technology, facilitating  ease of use and functionality. Systematic clinical evaluations of such devices  remain rare but are needed to steer future device development. PURPOSE: The  purpose of this study was to investigate, in a multicenter prospective trial, the  short- and medium-term effects of a head-worn vision enhancement device (eSight  Eyewear). METHODS: Participants aged 13 to 75 years with stable vision (distance  acuity, 20/60 to 20/400; visual field diameter &gt;20°) were recruited across six  sites. Data were collected at baseline (no device), at fitting (with device), and  after 3 months of everyday use. Outcome measures were visual ability measured by  the Veterans Affairs Low Vision Visual Functioning Questionnaire 48, distance  acuity (Early Treatment Diabetic Retinopathy Study), reading performance (MNREAD  chart), contrast sensitivity (MARS chart), face recognition, and a modified  version of the Melbourne Low Vision Activities of Daily Living (ADL) Index.  RESULTS: Among the 51 participants, eSight introduction immediately improved  distance acuity (0.74 ± 0.28 logMAR), contrast sensitivity (0.57 ± 0.53 log  units), and critical print size (0.52 ± 0.43 logMAR), all P &lt; .001, without any  further change after 3 months; reading acuity improved at fitting (0.56 ± 0.35  logMAR) and by one additional line after 3 months, whereas reading speed only  slightly increased across all three time points. The Melbourne ADL score and face  recognition improved at fitting (P &lt; .01) with trends toward further improvement  at 3 months. After 3 months of use, Veterans Affairs Low Vision Visual  Functioning Questionnaire 48 person measures (in logits) improved: overall, 0.84,  P &lt; .001; reading, 2.75, P &lt; .001; mobility, 0.04, not statistically significant;  visual information, 1.08, P &lt; .001; and visual motor, 0.48, P = .02. CONCLUSIONS:  eSight introduction yields immediate improvements in visual ability, with face  recognition and ADLs showing a tentative benefit of further use. Overall, visual  ability, reading, and visual information showed greatest benefit with device use.  Further studies need to examine benefits of practice and training and possible  differential effects of underlying pathology or baseline vision.</t>
  </si>
  <si>
    <t>HRK7GS95</t>
  </si>
  <si>
    <t>eSight head-mounted device trial</t>
  </si>
  <si>
    <t>Boonstra, Frouke N. et al.</t>
  </si>
  <si>
    <t>The Multidisciplinary Guidelines for Diagnosis and Referral in Cerebral Visual Impairment.</t>
  </si>
  <si>
    <t>Frontiers in human neuroscience</t>
  </si>
  <si>
    <t>INTRODUCTION: Cerebral visual impairment (CVI) is an important cause of visual impairment in western countries. Perinatal hypoxic-ischemic damage is the most  frequent cause of CVI but CVI can also be the result of a genetic disorder. The  majority of children with CVI have cerebral palsy and/or developmental delay.  Early diagnosis is crucial; however, there is a need for consensus on evidence  based diagnostic tools and referral criteria. The aim of this study is to develop  guidelines for diagnosis and referral in CVI according to the grade method.  PATIENTS AND METHODS: We developed the guidelines according to the GRADE method 5  searches on CVI (children, developmental age ≤ 18 years) were performed in the  databases Medline, Embase, and Psychinfo, each with a distinct topic. RESULTS:  Based on evidence articles were selected on five topics: 1. Medical history and  CVI-questionnaires 23 (out of 1,007). 2. Ophthalmological and orthoptic  assessment 37 (out of 816). 3. Neuropsychological assessment 5 (out of 716). 4.  Neuroradiological evaluation and magnetic resonance imaging (MRI) 9 (out of 723).  5. Genetic assessment 5 (out of 458). CONCLUSION: In medical history taking,  prematurity low birth weight and APGAR (Appearance, Pulse, Grimace, Activity,  Respiration) Scores (&lt;5) are important. Different questionnaires are advised for  children under the age of 3 years, older children and for specific risk groups  (extremely preterm). In ophthalmological examination, eye movements, specially  saccades, accommodation, crowding, contrast sensitivity and visual fields should  be evaluated. OCT can show objective signs of trans-synaptic degeneration and  abnormalities in fixation and saccades can be measured with eye tracking.  Screening of visual perceptive functioning is recommended and can be directive  for further assessment. MRI findings in CVI in Cerebral Palsy can be structured  in five groups: Brain maldevelopment, white and gray matter lesions, postnatal  lesions and a normal MRI. In children with CVI and periventricular leukomalacia,  brain lesion severity correlates with visual function impairment. A  differentiation can be made between cortical and subcortical damage and related  visual function impairment. Additional assessments (neurological or genetic) can  be necessary to complete the diagnosis of CVI and/or to reveal the etiology.</t>
  </si>
  <si>
    <t>U4ZWS72I</t>
  </si>
  <si>
    <t>Paediatric CVI guideline</t>
  </si>
  <si>
    <t>Xu, Shu et al.</t>
  </si>
  <si>
    <t>The Role of Home Hazards in the Association Between Visual Function and Falls in Older Adults.</t>
  </si>
  <si>
    <t>IMPORTANCE: Older adults with poor vision are more likely to fall. However, there has been little research to understand whether this association is concentrated  among individuals with specific exposures, such as home environmental hazards.  OBJECTIVE: To assess the association between differences in visual function, home  environmental hazards, and falls. DESIGN, SETTING, AND PARTICIPANTS: This  population-based cross-sectional study used data from the National Health and  Aging Trends Study, which gathers nationally representative data on Medicare  beneficiaries aged 65 years and older in the US. A total of 4648  community-dwelling older adults who completed visual function tests and the home  environment instrument in 2022 were included. Data were analyzed from September  2024 to March 2025. EXPOSURE: Objective measured visual function was assessed  using binocular presenting distance visual acuity (DVA; logMAR) and contrast  sensitivity (CS: logCS). Home hazards included absence of grab bars in the  bathroom, tripping hazards, and broken flooring, as well as an ordinal variable  representing cumulative hazards (0, 1, ≥2). MAIN OUTCOMES AND MEASURES: Falls  were defined as any self-reported fall in the past month. Survey-weighted  multivariable logistic regression assessed the associations of visual function,  home hazards, and falls. RESULTS: The survey-weighted prevalence of home hazards  among 4648 participants (53.6% female) was 47.0% (no grab bars), 9.5% (tripping  hazards), 4.5% (broken flooring), and 7.3% (≥2 hazards). Mean (SD) DVA was 0.10  (0.18) logMAR and mean (SD) CS was 1.72 (0.23) logCS. Worse DVA and CS were  associated with falling in homes with hazards, including no grab bars (DVA: OR,  1.14; 95% CI, 1.02-1.27; CS: OR, 0.91; 95% CI, 0.84-1.00), tripping hazards (DVA:  OR, 1.29; 95% CI, 1.11-1.49; CS: OR, 0.87; 95% CI, 0.78-0.98), and broken  flooring (DVA: OR, 1.47; 95% CI, 1.26-1.70; CS: OR, 0.79; 95% CI, 0.68-0.93). The  presence of multiple hazards further strengthened this association (DVA: OR,  1.31; 95% CI, 1.12-1.53; CS: OR, 0.93; 95% CI, 0.86-1.00). CONCLUSIONS AND  RELEVANCE: The association between differences in visual function and falls among  older adults in this study was shaped by the home environment. These findings  underscore the potential importance of considering both intrinsic and extrinsic  risk factors in fall prevention and highlight the potential for targeted  strategies that include home safety interventions for individuals with poor  visual function.</t>
  </si>
  <si>
    <t>MTTZPL5V</t>
  </si>
  <si>
    <t>Home hazards and falls</t>
  </si>
  <si>
    <t>van der Linden, Rob T. M. et al.</t>
  </si>
  <si>
    <t>The Role of Season, Sunlight, and Light Sensitivity in Self-Reported Depressive Symptoms by Adults With Visual Impairment.</t>
  </si>
  <si>
    <t>Translational vision science &amp; technology</t>
  </si>
  <si>
    <t>PURPOSE: Depression is common in people with visual impairment, and the onset may be influenced by aspects related to light. The aim was to explore the  associations of season, sunlight, and light sensitivity with depressive symptoms  in this population. METHODS: Data regarding self-reported depressive symptoms  from seven cross-sectional studies conducted between 2009 and 2018 were combined  with information concerning sensitivity to light, season on the date of  self-report, and potential sunlight exposure in the 2 weeks prior to self-report.  The latter was calculated by summing up the daily sunlight hours detected by the  weather station nearest to the residence of each participant. Logistic regression  analyses were performed to investigate the associations. RESULTS: Participants (N  = 1925) experienced clinically significant depressive symptoms most often in  winter (32.8%), followed by summer (27.4%), spring (26.2%), and fall (24.2%). The  odds of experiencing depression in fall were significantly lower compared with  winter (odds ratio [OR] = 0.67, P = 0.007). An increase in the hours of sunlight  in the participant's environment was associated with lower odds to experience  depressive symptoms (OR = 0.995, P = 0.011). People who were sensitive to bright  light had higher odds of experiencing depressive symptoms (OR = 1.80, P &lt; 0.001).  Other differences found between subgroups were not consistent. CONCLUSIONS: It  seems likely that season, sunlight, and light sensitivity play a role in  depression among people with visual impairment. Further research is needed,  exploring the experiences in this population, the actual sunlight exposure using  objective measures, and treatment options. TRANSLATIONAL RELEVANCE: Clinicians  should consider these factors when treating visually impaired patients with  depressive symptoms.</t>
  </si>
  <si>
    <t>J5FTZ573</t>
  </si>
  <si>
    <t>Depressive symptoms and light</t>
  </si>
  <si>
    <t>Di Maggio, Ilaria et al.</t>
  </si>
  <si>
    <t>The Veterans Affairs Low-Vision Visual Functioning Questionnaire-48 (VA LV VFQ-48): Performance of the Italian version</t>
  </si>
  <si>
    <t>European Journal of Ophthalmology</t>
  </si>
  <si>
    <t>Purpose:               The Veterans Affairs Low-Vision Visual Functioning Questionnaire-48 is among the most validated tools to collect patient-reported outcomes in a low-vision population. We have aimed to conduct a pilot validation of the Italian version of the Veterans Affairs Low-Vision Visual Functioning Questionnaire-48.                                         Methods:               The Veterans Affairs Low-Vision Visual Functioning Questionnaire-48 was translated using a standardized procedure and then administered to consecutive low-vision patients attending rehabilitation services in three centers. Patients were interviewed by a trained psychologist regarding the individual items of the tool.                                         Results:               We included 131 patients with a mean visual acuity of 0.91 logMAR (standard deviation: 0.42 logMAR), mostly affected by age-related macular degeneration. The Veterans Affairs Low-Vision Visual Functioning Questionnaire-48 showed high internal consistency (Cronbach’s alpha: 0.98) and good item-test and item-rest correlation (median: 0.73 and 0.71, respectively). Both the overall score and the subscale (reading, visual motor, mobility and visual information) scores significantly correlated with visual acuity, reading acuity and speed. Reading speed achieved the best absolute correlation with the Veterans Affairs Low-Vision Visual Functioning Questionnaire-48 scores (Spearman r: 0.39–0.49).                                         Conclusion:               The Italian version of the Veterans Affairs Low-Vision Visual Functioning Questionnaire-48 is a valid tool to assess patients attending low-vision services. Revising a few items may further improve the tool.</t>
  </si>
  <si>
    <t>J9DJF7KA</t>
  </si>
  <si>
    <t>Italian VA LV VFQ-48 validation; correlated with acuity and reading; instrument table</t>
  </si>
  <si>
    <t>Sheldon, Sarah et al.</t>
  </si>
  <si>
    <t>The effect of central vision loss on perception of mutual gaze.</t>
  </si>
  <si>
    <t>PURPOSE: To evaluate the effects of central vision loss (CVL) on mutual gaze perception (knowing whether somebody else is looking at you), an important  nonverbal visual cue in social interactions. METHODS: Twenty-three persons with  CVL (visual acuity 20/50 to 20/200), 16 with a bilateral central scotoma and 7  without, and 23 age-matched control subjects completed a gaze perception task and  a brief questionnaire. They adjusted the eyes of a life-size virtual head on a  monitor at a 1-m distance until they either appeared to be looking straight at  them or were at the extreme left/right or up/down positions at which the eyes  still appeared to be looking toward them (defining the range of mutual gaze in  the horizontal and vertical planes). RESULTS: The nonscotoma group did not differ  from the control subjects in any gaze task measure. However, the gaze direction  judgments of the scotoma group had significantly greater variability than those  of the nonscotoma and control groups (p &lt; 0.001). In addition, their mutual gaze  range tended to be wider (p = 0.15), suggesting a more liberal judgment  criterion. Contrast sensitivity was the strongest predictor of variability in  gaze direction judgments followed by self-reported difficulties. CONCLUSIONS: Our  results suggest that mutual gaze perception is relatively robust to CVL. However,  a follow-up study that simulates less-than-optimal viewing conditions of everyday  social interactions is needed. The gaze perception task holds promise as a  research tool for investigating the effects of vision impairment on mutual gaze  judgments. Self-reported difficulty and contrast sensitivity were both  independent predictors of gaze perception performance, suggesting that the task  captured higher-order as well as low-level visual abilities.</t>
  </si>
  <si>
    <t>VJG9VKJL</t>
  </si>
  <si>
    <t>Mutual gaze perception in central vision loss</t>
  </si>
  <si>
    <t>Hernandez Trillo, Ana et al.</t>
  </si>
  <si>
    <t>The impact of visual and nonvisual factors on quality of life and adaptation in adults with visual impairment.</t>
  </si>
  <si>
    <t>PURPOSE: Quality of life (QoL) questionnaires have been suggested as the most appropriate way to measure the effectiveness of low vision rehabilitation. This  study investigated the relative contribution of visual and psychosocial factors  to different aspects of QoL in people with low vision. METHODS: A total of 448  consecutive patients between the ages of 18 and 96 years, with best-corrected  binocular visual acuity≤6/18 and attending a low vision clinic, were recruited.  Telephone delivery of previously validated questionnaires was used. The Low  Vision Quality of Life (LVQOL), the Adaptation to Age-Related Vision Loss  (AVL)-12, and the Keele Participation Restriction Questionnaire (KAP)  questionnaires were considered as outcome measures for functional vision,  adaptation to vision loss, and participation restriction, respectively.  Personality (BFI-10), religious beliefs (SBI-15), social support (MOS), the  mental and physical components of general health (the MCS and PCS of SF-12),  well-being (WHO-5), use of magnifiers (MLVQ), understanding of their eye  condition and satisfaction with the eye clinic (MLVQ), level of education, and  financial status were all considered as predictive of QoL. RESULTS: Regression  analysis found the PCS and MCS from SF-12 to be major predictors of LVQOL,  AVL-12, and KAP scores. Although distance visual acuity and contrast sensitivity  were predictors of LVQOL scores, "use of magnifiers" did not contribute to any of  the QoL measures. CONCLUSIONS: Nonvisual factors, such as physical and mental  health, were found to be stronger predictors of QoL in people with low vision  than visual factors such as contrast sensitivity and visual acuity, or the use of  magnifiers. Researchers need to be aware when measuring QoL in a population with  low vision that even vision-related QoL is strongly influenced by nonvisual  variables.</t>
  </si>
  <si>
    <t>NRKVVKR5</t>
  </si>
  <si>
    <t>Predictors of QoL in LV clinic patients</t>
  </si>
  <si>
    <t>Broman, Aimee Teo et al.</t>
  </si>
  <si>
    <t>The impact of visual impairment and eye disease on vision-related quality of life in a Mexican-American population: proyecto VER.</t>
  </si>
  <si>
    <t>PURPOSE: To describe the relationship of visual acuity impairment and eye disease on vision-related quality of life, as measured by the 25-item National Eye  Institute Visual Function Questionnaire (NEI-VFQ-25), in a cross-sectional,  population-based study of older Hispanic persons living in Arizona. METHODS: A  random sample of block groups with Hispanic residents in Nogales and Tucson,  Arizona, were selected for study. Participants were interviewed at home with a  questionnaire that included the NEI-VFQ-25, an instrument measuring  vision-related quality of life. Acuity was obtained with Early Treatment Diabetic  Retinopathy Study (ETDRS) charts and standard protocol. Cataract was determined  by clinical examination, diabetic retinopathy was diagnosed on stereo fundus  photographs, and glaucoma was diagnosed on the basis of clinical examination and  visual field results. Analyses were done to determine the degree of association  between subscale scores and acuity in the better-seeing eye, monocular visual  impairment, and specific eye diseases, with adjustment for acuity. RESULTS: Of  the 4774 participants in the study, 99.7% had completed questionnaires that were  not completed by proxy. Participants with visual impairment had associated  decrements in scores on all subscales, with a decrease in presenting acuity  associated with a worse score (P &lt; 0.05), after adjustment for demographic  variables. Monocular impairment was also associated with lower scores in several  subscales. In those with cataract, low acuity explained most of the low scores,  but those with glaucoma or diabetic retinopathy had low scores independent of  acuity. CONCLUSIONS: In this study of Mexican-American persons aged 40 or more,  monocular impairment and better-eye acuity was associated with a decrease in most  domains representing quality of life. Subjects with uncorrected refractive error,  cataract, diabetic retinopathy, and glaucoma had associated decrements in quality  of life, many not explained by loss of acuity. Further work on the specific  measures of vision associated with reported decreases in quality of life, such as  visual field or contrast sensitivity, is warranted.</t>
  </si>
  <si>
    <t>MNDHHZB8</t>
  </si>
  <si>
    <t>NEI VFQ-25 vs acuity and eye disease (incl. glaucoma) in population study</t>
  </si>
  <si>
    <t>Belevska, Maja et al.</t>
  </si>
  <si>
    <t>The importance of individual predictors and psychosocial working conditions in assessing the work ability index of people with low vision.</t>
  </si>
  <si>
    <t>International journal of occupational safety and ergonomics : JOSE</t>
  </si>
  <si>
    <t>Purpose. This investigation aimed to clarify the importance of individual predictors and psychosocial working conditions in estimating the work ability  index (WAI) of people with impaired vision. Materials and methods. This study  utilized a quantitative cross-sectional design involving 450 respondents who had  low vision with visual acuity in the range of 0.05-0.3 and a control group of 150  respondents with visual acuity in the range of 0.5-0.3. The investigation was  conducted using the standardized instruments of the Copenhagen psychosocial  questionnaire (COPSOQ) and the WAI. Results. The average WAI score of the  respondents with low vision was 30.1 ± 4.1 and that of the control group was  34.7 ± 3.4. Results indicated a positive COPSOQ/WAI correlation in the following  domains: work importance; career prospects; rewards/feedback; role and  definition; quality of management; social support; job satisfaction; health  condition. Negative correlations were indicated in the following domains:  quantitative, cognitive and emotional demands; exhaustion; stress. Conclusions.  The WAI of people with low vision is both positively and negatively impacted via  different intensities associated with complex correlations, including: gender;  age; profession; stress propensity; quantitative, qualitative and emotional  demands of work; specificity of work, professional education; presence of  stressors.</t>
  </si>
  <si>
    <t>PYMUQTSC</t>
  </si>
  <si>
    <t>Work ability in low vision</t>
  </si>
  <si>
    <t>Sumi, Izumi et al.</t>
  </si>
  <si>
    <t>The relationship between visual disability and visual field in patients with glaucoma.</t>
  </si>
  <si>
    <t>PURPOSE: To evaluate the relationship between visual disability and the remaining visual field in glaucoma patients. DESIGN: Prospective noncomparative survey.  PARTICIPANTS: One hundred forty-seven Japanese patients with glaucoma were  examined. METHODS: Using a previously developed questionnaire, we assessed the  relationship between visual disability indices and both the visual field examined  using program 30-2 of the Humphrey Field Analyzer and visual acuity. MAIN OUTCOME  MEASURES: Pearson's correlation coefficients between visual disability indices  and the 22 visual field and 2 visual acuity measurements were calculated.  Multiple regression analysis with stepwise variable selection identified factors  significantly contributing to visual disability. RESULTS: We identified a  significant correlation between visual disability and both the visual field and  visual acuity measurements collected. Of the factors examined, retinal  sensitivity in the lower hemifield within 5 degrees of the fixation and visual  acuity in the better eye significantly contributed to all the item and total  disability indices (DIs), measurements of the degree of visual disability as  evaluated by the questionnaire; visual acuity in the worse eye contributed to two  of the seven item DIs, as well as the total DI. The R value for total DI (R =  0.87, P &lt; 0.0001) indicated that approximately 76% of the visual disability could  be explained by these factors. CONCLUSIONS: The Japanese glaucoma patients'  visual disability is explained primarily by retinal sensitivity in the lower  hemifield within 5 degrees of the fixation and visual acuity in the better eye  and secondarily by visual acuity in the worse eye.</t>
  </si>
  <si>
    <t>235SPCF3</t>
  </si>
  <si>
    <t>Glaucoma: self-reported visual disability questionnaire vs visual field and acuity</t>
  </si>
  <si>
    <t>Lamoureux, Ecosse et al.</t>
  </si>
  <si>
    <t>The relationship between visual function, duration and main causes of vision loss and falls in older people with low vision.</t>
  </si>
  <si>
    <t>Graefe's archive for clinical and experimental ophthalmology = Albrecht von Graefes Archiv fur klinische und experimentelle Ophthalmologie</t>
  </si>
  <si>
    <t>BACKGROUND: Falls are an alarming health problem and a major cause of injury among the elderly. The healthcare cost associated with falls is considerable.  Visual acuity has been found to be an independent risk factor for falls; however,  the results are not unanimous. Moreover, other aspects of visual function such as  visual field, contrast sensitivity and depth perception have not been adequately  investigated in relation to falls. The aim of this study, therefore, was to  determine the relationship between visual function, duration, and main causes of  visual impairment, and falls in individuals with low vision. METHODS: This was a  cross-sectional study involving participants attending a public tertiary eye care  hospital. Participants were mobile, aged 60 years or above, and had low vision  (visual acuity &gt;0.3 LogMAR in the better eye). Details about falls in the  previous 12 months and other information were collected, and patients completed a  questionnaire about activities of daily living. The duration and main causes of  visual impairment, visual acuity, contrast sensitivity, depth perception, and  visual field were assessed. Descriptive statistical analyses were performed to  characterize the participants' sociodemographic and clinical data. RESULTS: One  hundred and twenty seven patients (53%; 67 males) with a mean age of 76.3+/-8.3  years were recruited. Thirty seven percent of the participants (n=47) had mild,  50% (n=64) moderate and 13% (n=16) severe visual impairment (&gt;0.3-0.5; &gt;0.5-1.0;  and &gt;1.0 LogMAR respectively). The frequencies of single and multiple falls were  42.5% and 12.6% respectively. Visual acuity, contrast sensitivity, depth  perception, visual field, main cause, and duration of visual impairment were not  significantly associated with falls (p&gt;0.05). In multiple regression analyses,  physical inactivity remained the only variable independently associated with  falls in all models except for visual field. Overall, visually impaired people  were three times more likely to fall if they were physically inactive.  CONCLUSIONS: Visual function, duration and main causes of visual impairment are  not independently associated with falls in people with low vision. However, a  significant relationship between non-participation in physical activity and falls  was found. Further work is required to investigate the association between  vision-related factors and falls in older people with visual impairment.</t>
  </si>
  <si>
    <t>YNJL8W3X</t>
  </si>
  <si>
    <t>Visual function and falls in LV</t>
  </si>
  <si>
    <t>Dickson, Gretchen et al.</t>
  </si>
  <si>
    <t>Time required for screening for visual impairment in primary care: a randomized comparison of 3 common visual tests.</t>
  </si>
  <si>
    <t>Journal of primary care &amp; community health</t>
  </si>
  <si>
    <t>OBJECTIVE: To determine the time required for adults older than 50 years to complete 1 of 3 vision impairment assessment tools in a family medicine residency  office. METHODS: Patients older than 50 years with no known cognitive or physical  deficits that impaired ability to follow directions or complete screening tasks  were invited to participate in this trial. Participants were randomized to  complete 1 of 3 screening modalities, namely, the Functional Vision Screening  Questionnaire (questionnaire), mixed contrast sensitivity reading card (card), or  Snellen eye chart (Snellen). The time required to complete the vision assessment  was obtained and recorded. RESULTS: Sixty-nine patients, with a mean age of 63  years (SD, 10), participated in the study. The card required 94 less seconds to  administer than did the questionnaire (95% confidence interval, 61.24 to 127.11  seconds). Similarly, the card required 67 less seconds to administer than did the  Snellen (95% confidence interval, 34.20 to 100.06 seconds). No significant  difference existed between time to administer the questionnaire and the Snellen  (mean difference, 27 seconds; 95% confidence interval, -5.89 to 59.97 seconds).  CONCLUSIONS: Primary care-based vision screening may detect patients with  impairment who would otherwise not have vision assessment. However, a  time-intensive screen will not likely be successfully implemented in a primary  care office. The card required statistically significantly less time to  administer than did the questionnaire or Snellen. With all modalities requiring  at least 1 minute, perhaps none are suitable for use for universal, primary  care-based vision screening programs. Further work is needed to characterize the  reliability and ease of use of each tool.</t>
  </si>
  <si>
    <t>Q5RIGKBE</t>
  </si>
  <si>
    <t>Time to administer screening questionnaire vs card vs Snellen in primary care; feasibility</t>
  </si>
  <si>
    <t>Gorrie, Fiona et al.</t>
  </si>
  <si>
    <t>Towards population screening for Cerebral Visual Impairment: Validity of the Five Questions and the CVI Questionnaire.</t>
  </si>
  <si>
    <t>INTRODUCTION: Cerebral Visual Impairment (CVI) is the most common cause of visual impairment in children in the developed world and appears to be more prevalent in  children with additional support needs (ASN). There is an urgent need for routine  screening for CVI, particularly in children with ASN, however, current screening  questionnaires for CVI have limited validation. The aim of this study was to  evaluate two screening tools: the Five Questions and the CVI Questionnaire.  Additionally, the distribution of CVI across neurodevelopmental disorders is  unknown. This too was investigated. METHODS: An online survey was completed by  535 parents. The survey was advertised via social media, CVI websites and parent  email systems of four schools. The survey comprised of the Five Questions, the  CVI Questionnaire and additional questions regarding the child's diagnoses.  Whether or not a child had a diagnosis of CVI and/or additional  neurodevelopmental disorders was based on parental report. RESULTS: Based on  parent reports, both the screening tools accurately screened for CVI diagnoses in  children. The Five Questions and the CVI Questionnaire have construct validity  (as determined through factor analysis), high internal consistency (as determined  by Cronbach's alpha) and convergent validity (as determined by correlation  analysis of the raw scores of each questionnaire). This study also highlights  that among children with neurodevelopmental disorders, a large proportion have  parent-reported CVI (23%-39%) and potential CVI (6.59-22.53%; as identified by  the questionnaires). CONCLUSION: The current study demonstrates that the Five  Questions and CVI Questionnaire have good convergent validity, internal  consistency and a reliable factor structure and may therefore be suitable as  screening tools. The study also highlights that reported or potential CVI is  evident in a large proportion of children with neurodevelopmental disorders.</t>
  </si>
  <si>
    <t>7VJAJJ55</t>
  </si>
  <si>
    <t>Children, CVI screening</t>
  </si>
  <si>
    <t>Surawatsatien, Nuntachai et al.</t>
  </si>
  <si>
    <t>Translation and Testing Psychometric Properties of the Thai Version of Vision Bolt-On EQ-5D in Patients With Visual Impairment</t>
  </si>
  <si>
    <t>Value in Health Regional Issues</t>
  </si>
  <si>
    <t>Objectives
This study aimed to translate, culturally adapt, and evaluate the psychometric properties of the Thai versions of the vision bolt-on EQ-5D-3L and EQ-5D-5L, comparing them with the standard EQ-5D-3L, EQ-5D-5L, and EQ-VAS in individuals with varying degrees of visual impairment.
Methods
Following EuroQol Translation Guidelines, the vision bolt-on items were translated through forward-backward processes and underwent cognitive debriefing. A total of 301 participants were interviewed at baseline, with 275 completing a 2-week follow-up. Known-groups validity was assessed based on visual acuity classifications and comorbidity status; convergent validity was tested by using Spearman’s correlations. Test-retest reliability was evaluated with intraclass correlation coefficients (ICCs) and weighted kappa. Responsiveness was analyzed using a standardized effect size in participants who reported better or worse vision.
Results
Both versions of the vision bolt-on had no missing data and demonstrated moderate to good test-retest reliability (ICC range 0.62-0.64). They effectively differentiated quality-of-life scores across varying degrees of vision impairment, showing reduced ceiling effects (5%-9%) compared with the standard EQ-5D. Correlations with EQ-VAS were moderate (rho 0.40-0.45). When participants reported improved vision, the vision bolt-on EQ-5D-5L exhibited the highest responsiveness, whereas all instruments were generally less responsive for worsening vision.
Conclusions
The Thai versions of the vision bolt-on EQ-5D-3L and EQ-5D-5L demonstrated acceptable reliability, validity, and moderate responsiveness for capturing vision-related health changes, with the 5L version showing slightly greater sensitivity. These findings support the usefulness of adding a vision dimension to EQ-5D for Thai-speaking populations, facilitating more precise evaluations of interventions targeting visual health.</t>
  </si>
  <si>
    <t>MX4INW7X</t>
  </si>
  <si>
    <t>Other (see notes)</t>
  </si>
  <si>
    <t>Generic utility instrument (EQ-5D bolt-on) translation; not LV screening</t>
  </si>
  <si>
    <t>Pérez-Mañá, L. et al.</t>
  </si>
  <si>
    <t>Translation and cultural adaptation into Spanish of the Low Vision Quality of Life Questionnaire.</t>
  </si>
  <si>
    <t>Archivos de la Sociedad Espanola de Oftalmologia</t>
  </si>
  <si>
    <t>OBJECTIVE: The purpose of the present study was to provide a translation into Spanish, as well as a cross-cultural adaptation, of the English version of the  Low Vision Quality of Life Questionnaire (LVQOL). There are currently some  questionnaires designed to assess vision related quality of life in Spanish,  although none of them specifically examines the quality of life of patients with  visual disability. METHOD: The LVQOL consists of 25 items and examines 4  different dimensions: distance vision; mobility and ilumination; adaptation,  reading and precision work, and daily life activities. The process of translation  and cross-cultural adaptation was conducted following the recommendations of the  International Society for Pharmacoeconomics and Outcomes. This included, amongst  other variables, a direct translation, a back-translation, and a cognitive  debriefing with a small sample of patients with visual impairment. Work was  supervised by an expert committee consisting of an ophthalmologist, a  psychologist with expertise in Patient Reported Outcomes, and an  optician-optometrist with experience in the field of low vision. RESULTS: A total  of 46 phrases were considered for translation of which, 41 (89.1%) had excellent  equivalence, 3 (6.5%) moderate equivalence, and 2 poor equivalence. The cognitive  debriefing phase showed a high degree of acceptance of the questionnaire by the  sample of participants with visual impairment. CONCLUSIONS: The results obtained  suggest that the Spanish version of this tool is understandable for patients with  visual impairment. Its properties as a measuring tool will be evaluated in a  later study to determine its validity, reliability, and sensitivity to changes.</t>
  </si>
  <si>
    <t>98NAVVBZ</t>
  </si>
  <si>
    <t>Spanish LVQOL translation only; validation is record 119</t>
  </si>
  <si>
    <t>Fu, Chenxi et al.</t>
  </si>
  <si>
    <t>Unilateral Visual Impairment and Increased Mortality: The UK Biobank Cohort Study</t>
  </si>
  <si>
    <t>Translational Vision Science &amp; Technology</t>
  </si>
  <si>
    <t>Purpose: The purpose of this study was to investigate the association between the full spectrum of visual acuity categories and risks of all-cause, cardiovascular disease (CVD)-related, cancer-related mortality in the UK Biobank study.
Methods: A total of 131,468 participants (aged 40–79 years) with visual acuity measurement from the UK Biobank prospective cohort were included. Visual acuities of both eyes were used to assign each participant into one of the following groups: bilateral normal, unilateral near normal, bilateral near normal, unilateral visual impairment (VI), mild VI, and low vision. Cox proportional hazards multivariable regression models were used to estimate the hazard ratios (HRs) and 95% confidence intervals (CIs) for the risks of all-cause, CVD-related, and cancer-related mortality.
Results: Over a median follow-up of 13.49 years, a total of 9372 deaths were recorded, including 4682 cancer-related deaths and 1926 CVD-related deaths. Compared with the bilateral normal group, participants with decreased visual acuity had increased risks of all-cause and CVD-related mortality with dose-response-type gradients, but no elevated risk of cancer-related mortality was observed. Decreased unilateral visual acuity but not bilateral near normal vision was associated with increased risks for all-cause and CVD-related mortality. For all-cause and CVD-related mortality, the adjusted HRs were 1.17 (95% CI = 1.09–1.25) and 1.24 (95% CI = 1.07–1.44) for the unilateral near normal group, and 1.20 (95% CI = 1.14–1.27) and 1.26 (95% CI = 1.12–1.42) for the unilateral VI group.
Conclusions: Decreased unilateral visual acuity was associated with increased all-cause and CVD-related mortality risks among participants without VI in the UK Biobank.
Translational Relevance: Achieving bilateral vision balance may contribute to reducing the mortality risk of individuals with decreased unilateral visual acuity.</t>
  </si>
  <si>
    <t>H2FK8X6U</t>
  </si>
  <si>
    <t>Unilateral VI and mortality</t>
  </si>
  <si>
    <t>Zhao, David X. et al.</t>
  </si>
  <si>
    <t>Utilizing visual symptoms to distinguish dry eye from glaucoma, cataract, and suspect glaucoma patients: a cross-sectional study.</t>
  </si>
  <si>
    <t>BACKGROUND: The diagnosis of dry eye and other common ophthalmological conditions can be supported using patient reported symptoms, which is increasingly useful in  contexts such as telemedicine. We aim to ascertain visual symptoms that  differentiate dry eye from cataract, glaucoma, or glaucoma suspects. METHODS:  Adults with dry eye, glaucoma, cataract, and suspected glaucoma (controls)  completed a questionnaire to rate the frequency and severity of 28 visual  symptoms. Univariate, followed by multivariable logistic regression with backward  stepwise selection (p &lt; 0.05), determined the individual symptoms and set of  symptoms best distinguishing dry eye from each of the other conditions. RESULTS:  Mean age of 353 patients (94 glaucoma suspect controls, 79 glaucoma, 84 cataract,  and 96 dry eye) was 64.1 years (SD = 14.1); 67% were female and 68% White. Dry  eye patients reported more frequent light sensitivity (OR = 15.0, 95%  CI = 6.3-35.7) and spots in vision (OR = 2.8, 95% CI = 1.2-6.3) compared to  glaucoma suspect controls. Compared to glaucoma patients, dry eye patients  experienced more frequent light sensitivity (OR = 9.2, 95% CI = 2.0-41.7), but  less frequent poor peripheral vision (OR = 0.2, 95% CI = 0.06-0.7), difference in  vision between eyes (OR = 0.09, 95% CI = 0.01-0.7), and missing patches of vision  (OR = 0.06, 95% CI = 0.009-0.3). Compared to cataract patients, dry eye patients  reported more frequent spots in vision (OR = 4.5, 95% CI = 1.5-13.4) and vision  variability across the week (OR = 4.7, 95% CI = 1.2-17.7) and were less likely to  report worsening vision (OR = 0.1, 95% CI = 0.03-0.4) and blindness (OR = 0.1,  95% CI = 0.02-0.8). CONCLUSION: Visual symptoms may serve as a complementary tool  to distinguish dry eye from various ocular conditions, though the symptoms that  best distinguish dry eye differ across comparisons. Differentiating how patients  visually perceive common eye diseases may be used in a variety of clinical  settings to rule out specific conditions.</t>
  </si>
  <si>
    <t>HN4PDDQD</t>
  </si>
  <si>
    <t>Self-reported visual symptoms distinguishing glaucoma from other conditions; peripheral vision items</t>
  </si>
  <si>
    <t>McDowell, Nicola et al.</t>
  </si>
  <si>
    <t>Validation of the Austin Assessment: A screening tool for cerebral visual impairment related visual issues</t>
  </si>
  <si>
    <t>Cerebral visual impairment is the most common cause of vision impairment affecting children in the economically developed world with a prevalence rate of approximately 3.4%. Currently there are limited options for screening for cerebral visual impairment, resulting in many children going undiagnosed, especially those that have normal visual acuity. The aim of this research was to validate an iPad App called the Austin Assessment, which was developed as a potential screening tool for cerebral visual impairment related visual issues. The research involved three separate phases: (1) creating a database of normative ranges for children aged 5–18 across the different variables of the Austin Assessment, (2) using the Austin Assessment to screen children aged 5–13 to assess the effectiveness of the Austin Assessment as a screening tool for CVI related visual issues, and (3) conducting specific validation research assessing children using the Austin Assessment and an already validated visual search tool. Each phase used different quantitative research methodologies to help show the effectiveness of the Austin Assessment as a screening tool for cerebral visual impairment related visual issues. From phase one of the research, thresholds were established for three variables of the Austin Assessment for the age groupings of 5–8, 9–12 and 13–18. If a child meets one of these thresholds this indicates further assessment is required to determine if they do in fact have cerebral visual impairment related visual issues. Phase two identified 17 children out of 270 who had clinical findings indicating visual issues; potentially indicative of CVI; investigation into the nature of these visual issues is ongoing. Phase three found that the Austin Assessment has moderate diagnostic value for each age group, with good sensitivity and specificity, making it effective at distinguishing those children who have visual issues from those who have typical vision. Further investigation is needed to confirm this initial validation.</t>
  </si>
  <si>
    <t>GD3SY7PY</t>
  </si>
  <si>
    <t>Children, CVI app</t>
  </si>
  <si>
    <t>Pérez-Mañá, Luis et al.</t>
  </si>
  <si>
    <t>Validation of the Spanish version of the Low Vision Quality of Life Questionnaire.</t>
  </si>
  <si>
    <t>Journal of optometry</t>
  </si>
  <si>
    <t>PURPOSE: To validate the Spanish Low Vision Qualify of Life (SLVQOL) questionnaire, a quality of life instrument specifically designed for patients  with visual impairment, and evaluate its psychometric properties. METHODS: The  study included 170 visually impaired patients and 195 healthy subjects.  Participants were administered the SLVQOL, the NEI VFQ-25, and the EQ 5D-5L  questionnaires. Reliability, test-retest reproducibility, feasibility, and  construct validity of the SLVQOL were assessed. The Generalized Partial Credit  Model was used to fit the data and the performance of each item was characterized  using category response curves and item information. RESULTS: The reliability of  the SLVQOL was 0.981 (95% CI: 0.978-0.985). Test-retest reproducibility was good  (ρ=0.864, P&lt;.001). A cut-off point of 105 or 106 was optimal to detect visual  impairment, with a sensitivity of 95.4% and a specificity of 91.8%. Construct  validity was shown by the corresponding convergence or divergence correlations  between the score of the SLVQOL and its dimensions and the overall and partial  scores of the NEI VFQ-25 and the EQ 5D-5L. Item response theory analysis showed  discrimination and information parameters ranging from 0.539 to 3.063 and from  -1.894 to 1.074, respectively. CONCLUSION: The SLVQOL was able to quantitatively  assess and identify differences in the quality of life among patients with visual  impairment and normal subjects. The evaluated psychometric properties suggest  that this tool has excellent validity, internal consistency, and reproducibility,  but may benefit from a reduction of the number of items.</t>
  </si>
  <si>
    <t>MCHAGBGS</t>
  </si>
  <si>
    <t>Spanish LVQOL validation with sensitivity/specificity cut-off for VI</t>
  </si>
  <si>
    <t>Bibby, Sarah A et al.</t>
  </si>
  <si>
    <t>Vision and self‐reported mobility performance in patients with low vision</t>
  </si>
  <si>
    <t>Clinical and Experimental Optometry</t>
  </si>
  <si>
    <t>Background:  As vision plays a significant role in mobility performance, it is usual to refer low vision patients, particularly those who complain of mobility difficulties, for orientation and mobility (O&amp;M) training to help them maintain safe independent travel. Our study aimed to determine whether there was a relationship between measures of vision and self‐reported mobility, and the applicability of a patient‐based mobility assessment in patients with heterogeneous causes of visual loss.
Method:  We assessed the high and low contrast visual acuity, visual field and scanning ability of 30 patients with low vision. A validated mobility questionnaire was used to assess the participants’ perceived visual ability for independent mobility.
Results:  Vision was significantly correlated with self‐reported mobility performance, however, visual field was a significant predictor accounting for 56.5 per cent of the variance. The instrument was well constructed with valid content and high reliability scores.
Conclusions:  Self‐reported mobility performance together with measures of vision could be used as a guide to refer patients for O&amp;M training. The patient‐based assessment instrument was valid to measure perceived visual ability for independent mobility in patients with heterogeneous causes of visual loss.</t>
  </si>
  <si>
    <t>WNL2M5LI</t>
  </si>
  <si>
    <t>Self-reported mobility vs vision incl. visual field; used to guide O&amp;M referral</t>
  </si>
  <si>
    <t>McGregor, Loretta Neal et al.</t>
  </si>
  <si>
    <t>Visual difficulties reported by low-vision and nonimpaired older adult drivers.</t>
  </si>
  <si>
    <t>Human factors</t>
  </si>
  <si>
    <t>Nonimpaired and low-vision older adults responded to a questionnaire regarding the types of visual difficulties experienced while performing daily tasks and  while driving. Using the factors produced from a factor analysis as predictors, a  discriminant analysis was performed to determine whether significant differences  in visual problems existed between the groups. The majority of participants  reported that they currently required more time than in the past to perform tasks  that depended on their vision, regardless of their visual status. All  participants reported experiencing significant difficulties with static and  dynamic acuity, peripheral vision, illumination problems, and contrast  sensitivity. Both nonimpaired and low-vision older adult drivers reported  experiencing difficulty with glare, peripheral vision, and night driving.  Low-vision drivers reported experiencing unique difficulties with near acuity,  distant acuity, and physical obstructions. Potential applications of this  research include suggestions for redesigning automobiles and highway signs for  safer use and viewing.</t>
  </si>
  <si>
    <t>6L4XY745</t>
  </si>
  <si>
    <t>Self-reported visual difficulties discriminating LV vs non-impaired older drivers</t>
  </si>
  <si>
    <t>Jeon, Soo Ji et al.</t>
  </si>
  <si>
    <t>Visual function evaluation for low vision patients with advanced glaucoma</t>
  </si>
  <si>
    <t>Medicine</t>
  </si>
  <si>
    <t>Abstract               This study aimed to compare various visual function parameters for evaluating the quality of life (QOL) of patients with advanced glaucoma with low vision.               In total, 44 eyes of advanced glaucoma patients with low vision were included in this cross-sectional study. A moving pattern edge band program was used to assess edge detection ability and the low vision quality-of-life (LVQOL) questionnaire was used for evaluating QOL scores of subjects. Correlation analyses between QOL scores and visual functional parameters including pattern edge band unit, visual acuity (VA), and Mean deviation (MD) of perimetry were performed. The areas under receiver operating characteristic curves (AUROCs) of diverse visual functional parameters were calculated.                                VA and pattern edge band unit were related to LVQOL score in all subjects. For patients with a decimal VA lower than 0.1, only the pattern edge band showed a significant correlation with the QOL associated with distant activities (                 P                  = .031). However, the MD of perimetry was not related to the QOL score. After sorting subjects into 2 groups according to the LVQOL score, VA and pattern edge band unit were significantly different (                 P                  &lt; .01 and                 P                  = .029, respectively). The AUROC for edge detection ability using pattern edge band was higher than MD of perimetry.                              Assessment of edge detection ability using pattern edge band was meaningful for predicting QOL associated with visual performance in patients with far-advanced glaucoma. For these patients, edge detection could be used as an additional parameter for visual function with traditional VA and perimetry.</t>
  </si>
  <si>
    <t>SPS93Q98</t>
  </si>
  <si>
    <t>Advanced glaucoma: LVQOL vs VA, MD and edge detection with AUROC</t>
  </si>
  <si>
    <t>Black, Alex A. et al.</t>
  </si>
  <si>
    <t>Visual impairment and postural sway among older adults with glaucoma.</t>
  </si>
  <si>
    <t>PURPOSE: To investigate the effect of visual impairment on postural sway among older adults with open-angle glaucoma. METHODS: This study included 54  community-dwelling participants with open-angle glaucoma, aged 65 and older.  Binocular visual field loss was estimated from merged monocular Humphrey Field  Analyzer visual field results and retinal nerve fiber layer (RNFL) thickness was  obtained from the Stratus Optical Coherence Tomographer. Postural sway was  measured under four conditions: eyes open and closed, on a firm, and a foam  surface. Data were collected for additional vision measures (visual acuity and  contrast sensitivity), physical performance measures (self-reported physical  activity levels and 6-min walk test), and demographic measures (age, gender, body  mass index, and medical history). Multivariate linear regressions, adjusting for  confounding factors, were performed to determine the association between visual  loss and postural sway. RESULTS: Participants with greater binocular visual field  loss or thinner RNFL thickness showed increased postural sway, both on firm and  foam surfaces, independent of age, gender, body mass index, and physical  performance levels. These visual loss measures were significant predictors of  postural sway, explaining almost 20% of its variance on the foam surface.  Furthermore, participants with greater inferior hemifield visual field loss  showed increased postural sway on the foam surface. Increasing glaucomatous  visual impairment was accompanied by a steady decrease of the visual contribution  to postural control. CONCLUSION: Among older adults with glaucoma, greater visual  field loss or thinner RNFL thickness is associated with reduced postural  stability. This postural instability may be a contributing factor in the  increased risk of falls among older adults with glaucoma.</t>
  </si>
  <si>
    <t>JBNMHPLS</t>
  </si>
  <si>
    <t>Postural sway in glaucoma; no questionnaire</t>
  </si>
  <si>
    <t>Thompson, Atalie C. et al.</t>
  </si>
  <si>
    <t>Visual impairment predicts greater declines in physical performance over time: the Health, Aging and Body Composition Study.</t>
  </si>
  <si>
    <t>BACKGROUND: Poor vision has been associated with physical dysfunction and falls in older adults, but it is not known whether particular types of visual  impairment (VI) may predict greater rates of decline in mobility over time in  older adults. METHODS: Multi-center longitudinal cohort study of 2219 older  adults (mean age = 75.5 years; 52.4% female; 37.4% black) who completed  self-reported (visual function questions (VFQ)) or performance-based (visual  acuity (VA); log contrast sensitivity (LCS); stereoacuity (SA)) vision testing at  year 3 and the short physical performance battery (SPPB) at year 4. Analyses were  performed including all 2219 participants (Cohort A) and 1795 of these  participants with SPPB ≥ 9 (Cohort B) at year 4. Separate linear mixed models  were constructed to evaluate the relationship of each vision measure with rate of  change in performance on the SPPB and its components (gait speed, balance time,  and chair pace) over 8 years. RESULTS: In cohort A, compared to the predicted  decline at the mean vision level, a significantly faster rate of decline in SPPB  was experienced by those with a 1 standard deviation worse year 3 logMAR VA  (-0.044; 95% CI -0.065, -0.024), LCS (-0.062; 95% CI -0.082, -0.041), and VFQ  (-0.045; 95% CI -0.065, -0.025) and those with a SA &gt; 85 arcsec (-0.095; 95% CI  -0.139, -0.052) versus those with SA ≤ 85 (all p &lt; 0.001 for difference in  slopes). Cohort B showed similar but stronger findings for SPPB, and demonstrated  that worse logMAR VA, LCS and VFQ were significantly associated with a faster  decline in gait speed, while worse logMAR VA, LCS, and SA were significantly  associated with greater decline in balance times. Only poor SA &gt; 85 arcsec was  significantly associated with declines in chair pace. CONCLUSIONS: All VI  measures predicted faster declines in SPPB. Older adults with VI may benefit from  targeted intervention to prevent declines in mobility.</t>
  </si>
  <si>
    <t>RIDZCRU7</t>
  </si>
  <si>
    <t>Vision measures predicting physical decline</t>
  </si>
  <si>
    <t>Huang, Alan Y. et al.</t>
  </si>
  <si>
    <t>Visual impairment, age-related eye disease, and sleep dysfunction in older adults.</t>
  </si>
  <si>
    <t>Eye (London, England)</t>
  </si>
  <si>
    <t>BACKGROUND/OBJECTIVES: The visual system affects circadian rhythms, and both visual and sleep difficulties are common in older adults. This study examines the  association between visual impairment, age-related eye disease, and sleep  disturbances among older adults in the United States. SUBJECTS/METHODS: This  cross-sectional study used Round 11 of the National Health and Aging Trends Study  (NHATS). Vision was assessed using self-report and objective assessments  (distance and near acuity, contrast sensitivity). Medicare claims data were used  to identify diagnoses of age-related macular degeneration, glaucoma, diabetic  retinopathy, and cataract. Primary outcomes included self-reported sleep  disturbances, defined by difficulties in sleep initiation, maintenance, and  medication use. Logistic regression models were adjusted for demographic and  clinical variables. RESULTS: Among 3817 participants (56% female), difficulty  with sleep initiation, maintenance, and medication use were reported by 41.7%,  44.2%, and 26.5% of the cohort, respectively. In unadjusted models, self-reported  visual difficulty was associated with sleep initiation (OR 1.80, 95% CI:  1.43-2.29) and maintenance difficulties (OR 1.53, 95% CI: 1.16-2.02) and sleep  medication use (OR 1.68, 95% CI: 1.27-2.24). After adjusting for covariates,  self-reported visual difficulty remained significantly associated with sleep  medication use (OR 1.40, 95% CI: 1.00-1.95). Near acuity and contrast sensitivity  were associated with sleep initiation difficulties but did not remain significant  after adjustment. No associations were found between ophthalmic diagnoses and  outcomes. CONCLUSION: Self-reported visual difficulty is associated with  increased sleep medication use in older adults. Because visual impairment and  sleep medications are associated with falls and cognitive decline, future studies  should consider these comorbidity patterns.</t>
  </si>
  <si>
    <t>2S8M84JE</t>
  </si>
  <si>
    <t>Sleep and VI</t>
  </si>
  <si>
    <t>Owsley, Cynthia et al.</t>
  </si>
  <si>
    <t>Visually impaired drivers who use bioptic telescopes: self-assessed driving skills and agreement with on-road driving evaluation.</t>
  </si>
  <si>
    <t>PURPOSE: To compare self-assessed driving habits and skills of licensed drivers with central visual loss who use bioptic telescopes to those of age-matched  normally sighted drivers, and to examine the association between bioptic drivers'  impressions of the quality of their driving and ratings by a "backseat"  evaluator. METHODS: Participants were licensed bioptic drivers (n = 23) and  age-matched normally sighted drivers (n = 23). A questionnaire was administered  addressing driving difficulty, space, quality, exposure, and, for bioptic  drivers, whether the telescope was helpful in on-road situations. Visual acuity  and contrast sensitivity were assessed. Information on ocular diagnosis,  telescope characteristics, and bioptic driving experience was collected from the  medical record or in interview. On-road driving performance in regular traffic  conditions was rated independently by two evaluators. RESULTS: Like normally  sighted drivers, bioptic drivers reported no or little difficulty in many driving  situations (e.g., left turns, rush hour), but reported more difficulty under poor  visibility conditions and in unfamiliar areas (P &lt; 0.05). Driving exposure was  reduced in bioptic drivers (driving 250 miles per week on average vs. 410 miles  per week for normally sighted drivers, P = 0.02), but driving space was similar  to that of normally sighted drivers (P = 0.29). All but one bioptic driver used  the telescope in at least one driving task, and 56% used the telescope in three  or more tasks. Bioptic drivers' judgments about the quality of their driving were  very similar to backseat evaluators' ratings. CONCLUSIONS: Bioptic drivers show  insight into the overall quality of their driving and areas in which they  experience driving difficulty. They report using the bioptic telescope while  driving, contrary to previous claims that it is primarily used to pass the vision  screening test at licensure.</t>
  </si>
  <si>
    <t>GGEGIAHI</t>
  </si>
  <si>
    <t>Bioptic drivers self-assessment vs road test</t>
  </si>
  <si>
    <t>Desmettre, T. et al.</t>
  </si>
  <si>
    <t>[Status of low-vision rehabilitation for age-related macular degeneration by orthoptists in the North of France]</t>
  </si>
  <si>
    <t>Journal Francais D'ophtalmologie</t>
  </si>
  <si>
    <t>AIM OF THE STUDY: To evaluate the status of low-vision rehabilitation carried out by the orthoptists in the North of France. This study was a preliminary step in setting up a network between different vision professionals for the management of age-related macular degeneration (AMD) the North of France. METHODS: The ASO (Association Septentrionale d'Ophtalmologie) conducted a survey funded by the URCAM (Union Régionale des Caisses d'Assurance Maladie) with the FAQSV (fond d'aide à la qualité des soins de ville). The survey was based on the analysis of two forms sent to orthoptists of the North region of France. RESULTS: The survey analyzed 46 responses (a representative sample with 69% responses) providing a description of the orthoptists of the North of France: 19% males, 81% females whose mean professional experience was 13.3 years. Thirty-four percent of the orthoptists have had training in low-vision rehabilitation. This training was given during the university courses for 21% of responders and during a postgraduate course for 79%. Of the orthoptists surveyed, 64% worked in a private context, 9% in a public context, and 27% in both public and private contexts. Their main activity was in their own private practice for 60%, in an ophthalmologist's office for 20%, in a public institution for 16%, and a private institution for 4%. The mean number of patients treated was 70 per week per orthoptist, with 21% working mostly with children, 36% working mainly with adults between 16 and 60 years of age, and 7% with the elderly, whereas 36% reported no specificity related to patient age. The mean number of patients dealt with for low vision related to AMD was 4.1 per month per orthoptist. The average number of patients dealt with for low vision with no relation to AMD was 1.5 per month. The prescriber of low-vision rehabilitation was an ophthalmologist for 88.9% of the orthoptists and a general practitioner for 11.1%. Questions addressed to AMD patients: at the beginning of the survey, 83.8% of the patients did not have sufficient visual acuity to be able to read a text of current size (Parinaud 4); 40.4% of the patients required help for everyday life, and 59.6% were autonomous. For 7.1% of the patients, low-vision rehabilitation was carried out less than 1 month after the stabilization of retinal lesions, but in 35.3%, rehabilitation was carried out more than 2 years after lesions were stabilized. The main request of the patients involved improvement of near vision (89.9%). CONCLUSION: This survey will be a preliminary step in setting up a regional health network coordinating the ophthalmological and orthoptic management of AMD.</t>
  </si>
  <si>
    <t>JDTRS2N8</t>
  </si>
  <si>
    <t>Survey of orthoptists in France</t>
  </si>
  <si>
    <t>Flow diagram numbers</t>
  </si>
  <si>
    <t>Records identified – PubMed</t>
  </si>
  <si>
    <t>Source: your search log (4 Oct 2026)</t>
  </si>
  <si>
    <t>Records identified – Scopus</t>
  </si>
  <si>
    <t>Total records identified</t>
  </si>
  <si>
    <t>Duplicates removed</t>
  </si>
  <si>
    <t>Records screened (title/abstract)</t>
  </si>
  <si>
    <t xml:space="preserve">  Screened so far</t>
  </si>
  <si>
    <t xml:space="preserve">  Excluded at title/abstract</t>
  </si>
  <si>
    <t xml:space="preserve">  Included + Maybe → full text</t>
  </si>
  <si>
    <t>Full texts assessed</t>
  </si>
  <si>
    <t xml:space="preserve">  Excluded at full text</t>
  </si>
  <si>
    <t>Studies included</t>
  </si>
  <si>
    <t>Exclusion reasons</t>
  </si>
  <si>
    <t>Title/abstract</t>
  </si>
  <si>
    <t>Full text</t>
  </si>
  <si>
    <t>Conference abstract only</t>
  </si>
  <si>
    <t>Language (not English/French)</t>
  </si>
  <si>
    <t>Full text not available</t>
  </si>
  <si>
    <t>Check: your decisions vs AI suggestions</t>
  </si>
  <si>
    <t>Rows where you agreed with the AI</t>
  </si>
  <si>
    <t>Rows where you changed the AI decision</t>
  </si>
  <si>
    <t>Decisions</t>
  </si>
  <si>
    <t>Full-text decisions</t>
  </si>
  <si>
    <t>Social Support Provided To High School Students With Visual Impairments By Their Sighted Classmates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</si>
</sst>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name val="Arial"/>
      <family val="2"/>
      <charset val="1"/>
    </font>
    <font>
      <b/>
      <sz val="11"/>
      <name val="Arial"/>
      <family val="2"/>
      <charset val="1"/>
    </font>
    <font>
      <sz val="11"/>
      <name val="Arial"/>
      <family val="2"/>
      <charset val="1"/>
    </font>
    <font>
      <b/>
      <sz val="11"/>
      <name val="Arial"/>
      <family val="2"/>
    </font>
    <font>
      <sz val="11"/>
      <name val="Arial"/>
      <family val="2"/>
    </font>
    <font>
      <b/>
      <sz val="11"/>
      <color rgb="FFFFFFFF"/>
      <name val="Arial"/>
      <family val="2"/>
      <charset val="1"/>
    </font>
    <font>
      <b/>
      <sz val="11"/>
      <color rgb="FFFFFFFF"/>
      <name val="Arial"/>
      <family val="2"/>
    </font>
    <font>
      <sz val="10"/>
      <name val="Arial"/>
      <family val="2"/>
      <charset val="1"/>
    </font>
    <font>
      <u/>
      <sz val="10"/>
      <color rgb="FF0563C1"/>
      <name val="Arial"/>
      <family val="2"/>
      <charset val="1"/>
    </font>
    <font>
      <sz val="10"/>
      <name val="Arial"/>
      <family val="2"/>
    </font>
    <font>
      <i/>
      <sz val="10"/>
      <color theme="1"/>
      <name val="Arial"/>
      <family val="2"/>
      <charset val="1"/>
    </font>
    <font>
      <b/>
      <sz val="12"/>
      <name val="Arial"/>
      <family val="2"/>
      <charset val="1"/>
    </font>
    <font>
      <sz val="11"/>
      <color rgb="FF0000FF"/>
      <name val="Arial"/>
      <family val="2"/>
      <charset val="1"/>
    </font>
    <font>
      <i/>
      <sz val="11"/>
      <color rgb="FF808080"/>
      <name val="Arial"/>
      <family val="2"/>
      <charset val="1"/>
    </font>
    <font>
      <sz val="11"/>
      <color rgb="FF000000"/>
      <name val="Arial"/>
      <family val="2"/>
      <charset val="1"/>
    </font>
    <font>
      <b/>
      <sz val="11"/>
      <color rgb="FF000000"/>
      <name val="Arial"/>
      <family val="2"/>
      <charset val="1"/>
    </font>
    <font>
      <b/>
      <sz val="12"/>
      <name val="Arial"/>
      <family val="2"/>
    </font>
  </fonts>
  <fills count="6">
    <fill>
      <patternFill patternType="none"/>
    </fill>
    <fill>
      <patternFill patternType="gray125"/>
    </fill>
    <fill>
      <patternFill patternType="solid">
        <fgColor rgb="FF1F3864"/>
        <bgColor rgb="FF333333"/>
      </patternFill>
    </fill>
    <fill>
      <patternFill patternType="solid">
        <fgColor rgb="FF595959"/>
        <bgColor rgb="FF333333"/>
      </patternFill>
    </fill>
    <fill>
      <patternFill patternType="solid">
        <fgColor rgb="FFFFF2CC"/>
        <bgColor rgb="FFEDEDED"/>
      </patternFill>
    </fill>
    <fill>
      <patternFill patternType="solid">
        <fgColor rgb="FFEDEDE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4" fillId="0" borderId="0" xfId="0" applyFont="1"/>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8" fillId="4" borderId="1" xfId="0" applyFont="1" applyFill="1" applyBorder="1" applyAlignment="1">
      <alignment vertical="top" wrapText="1"/>
    </xf>
    <xf numFmtId="0" fontId="10" fillId="5" borderId="1" xfId="0" applyFont="1" applyFill="1" applyBorder="1" applyAlignment="1">
      <alignment vertical="top" wrapText="1"/>
    </xf>
    <xf numFmtId="0" fontId="11" fillId="0" borderId="1" xfId="0" applyFont="1" applyBorder="1" applyAlignment="1">
      <alignment vertical="top" wrapText="1"/>
    </xf>
    <xf numFmtId="0" fontId="12" fillId="0" borderId="0" xfId="0" applyFont="1"/>
    <xf numFmtId="0" fontId="3" fillId="0" borderId="0" xfId="0" applyFont="1"/>
    <xf numFmtId="0" fontId="13" fillId="0" borderId="0" xfId="0" applyFont="1"/>
    <xf numFmtId="0" fontId="14" fillId="0" borderId="0" xfId="0" applyFont="1"/>
    <xf numFmtId="0" fontId="15" fillId="0" borderId="0" xfId="0" applyFont="1"/>
    <xf numFmtId="0" fontId="2" fillId="0" borderId="0" xfId="0" applyFont="1"/>
    <xf numFmtId="0" fontId="16" fillId="0" borderId="0" xfId="0" applyFont="1"/>
    <xf numFmtId="0" fontId="17" fillId="0" borderId="0" xfId="0" applyFont="1"/>
    <xf numFmtId="0" fontId="5" fillId="0" borderId="0" xfId="0" applyFont="1"/>
  </cellXfs>
  <cellStyles count="1">
    <cellStyle name="Normal" xfId="0" builtinId="0"/>
  </cellStyles>
  <dxfs count="9">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93/ageing/afx202" TargetMode="External"/><Relationship Id="rId117" Type="http://schemas.openxmlformats.org/officeDocument/2006/relationships/hyperlink" Target="https://doi.org/10.1097/OPX.0b013e31817882db" TargetMode="External"/><Relationship Id="rId21" Type="http://schemas.openxmlformats.org/officeDocument/2006/relationships/hyperlink" Target="https://doi.org/10.3109/09638288.2012.737085" TargetMode="External"/><Relationship Id="rId42" Type="http://schemas.openxmlformats.org/officeDocument/2006/relationships/hyperlink" Target="https://doi.org/10.1016/j.ajoint.2024.100091" TargetMode="External"/><Relationship Id="rId47" Type="http://schemas.openxmlformats.org/officeDocument/2006/relationships/hyperlink" Target="https://doi.org/10.1007/s11136-008-9336-3" TargetMode="External"/><Relationship Id="rId63" Type="http://schemas.openxmlformats.org/officeDocument/2006/relationships/hyperlink" Target="https://doi.org/10.1167/iovs.05-1319" TargetMode="External"/><Relationship Id="rId68" Type="http://schemas.openxmlformats.org/officeDocument/2006/relationships/hyperlink" Target="https://doi.org/10.1097/OPX.0000000000001327" TargetMode="External"/><Relationship Id="rId84" Type="http://schemas.openxmlformats.org/officeDocument/2006/relationships/hyperlink" Target="https://doi.org/10.1097/OPX.0000000000000005" TargetMode="External"/><Relationship Id="rId89" Type="http://schemas.openxmlformats.org/officeDocument/2006/relationships/hyperlink" Target="https://doi.org/10.1055/s-0031-1285908" TargetMode="External"/><Relationship Id="rId112" Type="http://schemas.openxmlformats.org/officeDocument/2006/relationships/hyperlink" Target="https://doi.org/10.1371/journal.pone.0293904" TargetMode="External"/><Relationship Id="rId16" Type="http://schemas.openxmlformats.org/officeDocument/2006/relationships/hyperlink" Target="https://doi.org/10.1111/opo.12440" TargetMode="External"/><Relationship Id="rId107" Type="http://schemas.openxmlformats.org/officeDocument/2006/relationships/hyperlink" Target="https://doi.org/10.1371/journal.pone.0214290" TargetMode="External"/><Relationship Id="rId11" Type="http://schemas.openxmlformats.org/officeDocument/2006/relationships/hyperlink" Target="https://link.springer.com/10.1007/978-3-031-42682-7_47" TargetMode="External"/><Relationship Id="rId32" Type="http://schemas.openxmlformats.org/officeDocument/2006/relationships/hyperlink" Target="https://doi.org/10.1016/j.ophtha.2013.09.042" TargetMode="External"/><Relationship Id="rId37" Type="http://schemas.openxmlformats.org/officeDocument/2006/relationships/hyperlink" Target="https://doi.org/10.1177/23969873251314693" TargetMode="External"/><Relationship Id="rId53" Type="http://schemas.openxmlformats.org/officeDocument/2006/relationships/hyperlink" Target="https://doi.org/10.1016/j.ajo.2025.08.051" TargetMode="External"/><Relationship Id="rId58" Type="http://schemas.openxmlformats.org/officeDocument/2006/relationships/hyperlink" Target="https://doi.org/10.1080/09638280410001662950" TargetMode="External"/><Relationship Id="rId74" Type="http://schemas.openxmlformats.org/officeDocument/2006/relationships/hyperlink" Target="https://doi.org/10.21037/aes-21-37" TargetMode="External"/><Relationship Id="rId79" Type="http://schemas.openxmlformats.org/officeDocument/2006/relationships/hyperlink" Target="https://doi.org/10.1016/j.apergo.2012.11.006" TargetMode="External"/><Relationship Id="rId102" Type="http://schemas.openxmlformats.org/officeDocument/2006/relationships/hyperlink" Target="https://doi.org/10.1167/iovs.12-9580" TargetMode="External"/><Relationship Id="rId5" Type="http://schemas.openxmlformats.org/officeDocument/2006/relationships/hyperlink" Target="https://doi.org/10.3109/09286586.2012.712192" TargetMode="External"/><Relationship Id="rId90" Type="http://schemas.openxmlformats.org/officeDocument/2006/relationships/hyperlink" Target="https://doi.org/10.1167/iovs.06-0566" TargetMode="External"/><Relationship Id="rId95" Type="http://schemas.openxmlformats.org/officeDocument/2006/relationships/hyperlink" Target="https://doi.org/10.3233/JAD-221073" TargetMode="External"/><Relationship Id="rId22" Type="http://schemas.openxmlformats.org/officeDocument/2006/relationships/hyperlink" Target="https://doi.org/10.1016/j.ophtha.2024.06.009" TargetMode="External"/><Relationship Id="rId27" Type="http://schemas.openxmlformats.org/officeDocument/2006/relationships/hyperlink" Target="https://doi.org/10.18240/ijo.2026.05.19" TargetMode="External"/><Relationship Id="rId43" Type="http://schemas.openxmlformats.org/officeDocument/2006/relationships/hyperlink" Target="https://doi.org/10.1016/j.jad.2017.04.014" TargetMode="External"/><Relationship Id="rId48" Type="http://schemas.openxmlformats.org/officeDocument/2006/relationships/hyperlink" Target="https://doi.org/10.1080/02713683.2021.1896740" TargetMode="External"/><Relationship Id="rId64" Type="http://schemas.openxmlformats.org/officeDocument/2006/relationships/hyperlink" Target="https://doi.org/10.1016/j.visres.2013.02.015" TargetMode="External"/><Relationship Id="rId69" Type="http://schemas.openxmlformats.org/officeDocument/2006/relationships/hyperlink" Target="https://doi.org/10.1167/iovs.15-16892" TargetMode="External"/><Relationship Id="rId113" Type="http://schemas.openxmlformats.org/officeDocument/2006/relationships/hyperlink" Target="https://doi.org/10.1016/j.optom.2021.01.004" TargetMode="External"/><Relationship Id="rId118" Type="http://schemas.openxmlformats.org/officeDocument/2006/relationships/hyperlink" Target="https://doi.org/10.1186/s12877-025-05747-6" TargetMode="External"/><Relationship Id="rId80" Type="http://schemas.openxmlformats.org/officeDocument/2006/relationships/hyperlink" Target="https://doi.org/10.5301/ejo.5000972" TargetMode="External"/><Relationship Id="rId85" Type="http://schemas.openxmlformats.org/officeDocument/2006/relationships/hyperlink" Target="https://doi.org/10.5014/ajot.2020.038307" TargetMode="External"/><Relationship Id="rId12" Type="http://schemas.openxmlformats.org/officeDocument/2006/relationships/hyperlink" Target="https://doi.org/10.1001/archophthalmol.2012.1197" TargetMode="External"/><Relationship Id="rId17" Type="http://schemas.openxmlformats.org/officeDocument/2006/relationships/hyperlink" Target="https://doi.org/10.1001/jamaophthalmol.2015.0693" TargetMode="External"/><Relationship Id="rId33" Type="http://schemas.openxmlformats.org/officeDocument/2006/relationships/hyperlink" Target="https://doi.org/10.1001/jamaophthalmol.2018.0797" TargetMode="External"/><Relationship Id="rId38" Type="http://schemas.openxmlformats.org/officeDocument/2006/relationships/hyperlink" Target="https://doi.org/10.1682/jrrd.2004.07.0080" TargetMode="External"/><Relationship Id="rId59" Type="http://schemas.openxmlformats.org/officeDocument/2006/relationships/hyperlink" Target="https://doi.org/10.1186/s12889-025-25648-y" TargetMode="External"/><Relationship Id="rId103" Type="http://schemas.openxmlformats.org/officeDocument/2006/relationships/hyperlink" Target="https://doi.org/10.1080/10803548.2019.1613811" TargetMode="External"/><Relationship Id="rId108" Type="http://schemas.openxmlformats.org/officeDocument/2006/relationships/hyperlink" Target="https://doi.org/10.1016/j.vhri.2025.101498" TargetMode="External"/><Relationship Id="rId54" Type="http://schemas.openxmlformats.org/officeDocument/2006/relationships/hyperlink" Target="https://doi.org/10.4103/ijo.IJO_2625_20" TargetMode="External"/><Relationship Id="rId70" Type="http://schemas.openxmlformats.org/officeDocument/2006/relationships/hyperlink" Target="https://doi.org/10.1177/0145482X0409800502" TargetMode="External"/><Relationship Id="rId75" Type="http://schemas.openxmlformats.org/officeDocument/2006/relationships/hyperlink" Target="https://doi.org/10.1097/00006324-200207000-00009" TargetMode="External"/><Relationship Id="rId91" Type="http://schemas.openxmlformats.org/officeDocument/2006/relationships/hyperlink" Target="https://doi.org/10.4274/tjo.galenos.2021.73368" TargetMode="External"/><Relationship Id="rId96" Type="http://schemas.openxmlformats.org/officeDocument/2006/relationships/hyperlink" Target="https://doi.org/10.1097/OPX.0000000000001262" TargetMode="External"/><Relationship Id="rId1" Type="http://schemas.openxmlformats.org/officeDocument/2006/relationships/hyperlink" Target="https://www.researchgate.net/publication/311575981_Social_Support_Provided_To_High_School_Students_With_Visual_Impairments_By_Their_Sighted_Classmates" TargetMode="External"/><Relationship Id="rId6" Type="http://schemas.openxmlformats.org/officeDocument/2006/relationships/hyperlink" Target="https://doi.org/10.3928/23258160-20200501-03" TargetMode="External"/><Relationship Id="rId23" Type="http://schemas.openxmlformats.org/officeDocument/2006/relationships/hyperlink" Target="https://doi.org/10.1111/opo.12665" TargetMode="External"/><Relationship Id="rId28" Type="http://schemas.openxmlformats.org/officeDocument/2006/relationships/hyperlink" Target="https://doi.org/10.1097/OPX.0b013e3181b180a6" TargetMode="External"/><Relationship Id="rId49" Type="http://schemas.openxmlformats.org/officeDocument/2006/relationships/hyperlink" Target="https://doi.org/10.1016/j.ics.2005.05.155" TargetMode="External"/><Relationship Id="rId114" Type="http://schemas.openxmlformats.org/officeDocument/2006/relationships/hyperlink" Target="https://doi.org/10.1111/j.1444-0938.2007.00120.x" TargetMode="External"/><Relationship Id="rId119" Type="http://schemas.openxmlformats.org/officeDocument/2006/relationships/hyperlink" Target="https://doi.org/10.1038/s41433-025-03777-3" TargetMode="External"/><Relationship Id="rId10" Type="http://schemas.openxmlformats.org/officeDocument/2006/relationships/hyperlink" Target="https://doi.org/10.3389/fnut.2026.1851210" TargetMode="External"/><Relationship Id="rId31" Type="http://schemas.openxmlformats.org/officeDocument/2006/relationships/hyperlink" Target="https://doi.org/10.1371/journal.pone.0310592" TargetMode="External"/><Relationship Id="rId44" Type="http://schemas.openxmlformats.org/officeDocument/2006/relationships/hyperlink" Target="https://doi.org/10.1109/JBHI.2025.3529288" TargetMode="External"/><Relationship Id="rId52" Type="http://schemas.openxmlformats.org/officeDocument/2006/relationships/hyperlink" Target="https://doi.org/10.1371/journal.pone.0294326" TargetMode="External"/><Relationship Id="rId60" Type="http://schemas.openxmlformats.org/officeDocument/2006/relationships/hyperlink" Target="https://doi.org/10.4103/aam.aam_329_25" TargetMode="External"/><Relationship Id="rId65" Type="http://schemas.openxmlformats.org/officeDocument/2006/relationships/hyperlink" Target="https://doi.org/10.1167/iovs.66.2.39" TargetMode="External"/><Relationship Id="rId73" Type="http://schemas.openxmlformats.org/officeDocument/2006/relationships/hyperlink" Target="https://doi.org/10.1007/s10484-018-9423-3" TargetMode="External"/><Relationship Id="rId78" Type="http://schemas.openxmlformats.org/officeDocument/2006/relationships/hyperlink" Target="https://doi.org/10.1139/I06-027" TargetMode="External"/><Relationship Id="rId81" Type="http://schemas.openxmlformats.org/officeDocument/2006/relationships/hyperlink" Target="https://doi.org/10.3109/02703181.2013.813619" TargetMode="External"/><Relationship Id="rId86" Type="http://schemas.openxmlformats.org/officeDocument/2006/relationships/hyperlink" Target="https://doi.org/10.1167/iovs.10-6644" TargetMode="External"/><Relationship Id="rId94" Type="http://schemas.openxmlformats.org/officeDocument/2006/relationships/hyperlink" Target="https://doi.org/10.1007/s40123-022-00600-0" TargetMode="External"/><Relationship Id="rId99" Type="http://schemas.openxmlformats.org/officeDocument/2006/relationships/hyperlink" Target="https://doi.org/10.1167/tvst.13.10.2" TargetMode="External"/><Relationship Id="rId101" Type="http://schemas.openxmlformats.org/officeDocument/2006/relationships/hyperlink" Target="https://doi.org/10.1097/OPX.0000000000000314" TargetMode="External"/><Relationship Id="rId4" Type="http://schemas.openxmlformats.org/officeDocument/2006/relationships/hyperlink" Target="https://doi.org/10.1080/08820538.2021.1931355" TargetMode="External"/><Relationship Id="rId9" Type="http://schemas.openxmlformats.org/officeDocument/2006/relationships/hyperlink" Target="https://doi.org/10.1016/j.ajo.2025.09.005" TargetMode="External"/><Relationship Id="rId13" Type="http://schemas.openxmlformats.org/officeDocument/2006/relationships/hyperlink" Target="https://doi.org/10.1111/opo.12646" TargetMode="External"/><Relationship Id="rId18" Type="http://schemas.openxmlformats.org/officeDocument/2006/relationships/hyperlink" Target="https://doi.org/10.1348/135910707X209835" TargetMode="External"/><Relationship Id="rId39" Type="http://schemas.openxmlformats.org/officeDocument/2006/relationships/hyperlink" Target="https://doi.org/10.2196/74164" TargetMode="External"/><Relationship Id="rId109" Type="http://schemas.openxmlformats.org/officeDocument/2006/relationships/hyperlink" Target="https://doi.org/10.1016/j.oftal.2019.02.004" TargetMode="External"/><Relationship Id="rId34" Type="http://schemas.openxmlformats.org/officeDocument/2006/relationships/hyperlink" Target="https://doi.org/10.1080/09273948.2020.1770297" TargetMode="External"/><Relationship Id="rId50" Type="http://schemas.openxmlformats.org/officeDocument/2006/relationships/hyperlink" Target="https://doi.org/10.3233/JPD-213143" TargetMode="External"/><Relationship Id="rId55" Type="http://schemas.openxmlformats.org/officeDocument/2006/relationships/hyperlink" Target="https://doi.org/10.1007/s40520-022-02296-5" TargetMode="External"/><Relationship Id="rId76" Type="http://schemas.openxmlformats.org/officeDocument/2006/relationships/hyperlink" Target="https://doi.org/10.1167/iovs.18-24032" TargetMode="External"/><Relationship Id="rId97" Type="http://schemas.openxmlformats.org/officeDocument/2006/relationships/hyperlink" Target="https://doi.org/10.3389/fnhum.2022.727565" TargetMode="External"/><Relationship Id="rId104" Type="http://schemas.openxmlformats.org/officeDocument/2006/relationships/hyperlink" Target="https://doi.org/10.1016/S0161-6420(02)01742-6" TargetMode="External"/><Relationship Id="rId120" Type="http://schemas.openxmlformats.org/officeDocument/2006/relationships/hyperlink" Target="https://doi.org/10.1167/iovs.13-13520" TargetMode="External"/><Relationship Id="rId7" Type="http://schemas.openxmlformats.org/officeDocument/2006/relationships/hyperlink" Target="https://doi.org/10.1590/S1020-49892009000800007" TargetMode="External"/><Relationship Id="rId71" Type="http://schemas.openxmlformats.org/officeDocument/2006/relationships/hyperlink" Target="https://doi.org/10.1186/s12877-015-0062-8" TargetMode="External"/><Relationship Id="rId92" Type="http://schemas.openxmlformats.org/officeDocument/2006/relationships/hyperlink" Target="https://doi.org/10.1167/iovs.05-0137" TargetMode="External"/><Relationship Id="rId2" Type="http://schemas.openxmlformats.org/officeDocument/2006/relationships/hyperlink" Target="https://doi.org/10.1016/j.clae.2019.11.015" TargetMode="External"/><Relationship Id="rId29" Type="http://schemas.openxmlformats.org/officeDocument/2006/relationships/hyperlink" Target="https://doi.org/10.1097/OPX.0000000000002236" TargetMode="External"/><Relationship Id="rId24" Type="http://schemas.openxmlformats.org/officeDocument/2006/relationships/hyperlink" Target="https://doi.org/10.1111/ajag.12159" TargetMode="External"/><Relationship Id="rId40" Type="http://schemas.openxmlformats.org/officeDocument/2006/relationships/hyperlink" Target="https://doi.org/10.24875/RMOE.M23000245" TargetMode="External"/><Relationship Id="rId45" Type="http://schemas.openxmlformats.org/officeDocument/2006/relationships/hyperlink" Target="https://doi.org/10.1167/iovs.10-7055" TargetMode="External"/><Relationship Id="rId66" Type="http://schemas.openxmlformats.org/officeDocument/2006/relationships/hyperlink" Target="https://doi.org/10.1001/jamaophthalmol.2023.2854" TargetMode="External"/><Relationship Id="rId87" Type="http://schemas.openxmlformats.org/officeDocument/2006/relationships/hyperlink" Target="https://doi.org/10.3389/fnhum.2020.595890" TargetMode="External"/><Relationship Id="rId110" Type="http://schemas.openxmlformats.org/officeDocument/2006/relationships/hyperlink" Target="https://doi.org/10.1167/tvst.14.7.17" TargetMode="External"/><Relationship Id="rId115" Type="http://schemas.openxmlformats.org/officeDocument/2006/relationships/hyperlink" Target="https://doi.org/10.1518/001872005774859953" TargetMode="External"/><Relationship Id="rId61" Type="http://schemas.openxmlformats.org/officeDocument/2006/relationships/hyperlink" Target="https://doi.org/10.1136/bjophthalmol-2015-306621" TargetMode="External"/><Relationship Id="rId82" Type="http://schemas.openxmlformats.org/officeDocument/2006/relationships/hyperlink" Target="https://doi.org/10.1111/opo.12606" TargetMode="External"/><Relationship Id="rId19" Type="http://schemas.openxmlformats.org/officeDocument/2006/relationships/hyperlink" Target="https://doi.org/10.4274/tjo.galenos.2018.65928" TargetMode="External"/><Relationship Id="rId14" Type="http://schemas.openxmlformats.org/officeDocument/2006/relationships/hyperlink" Target="https://doi.org/10.1016/j.spen.2019.05.004" TargetMode="External"/><Relationship Id="rId30" Type="http://schemas.openxmlformats.org/officeDocument/2006/relationships/hyperlink" Target="https://doi.org/10.1359/JBMR.040504" TargetMode="External"/><Relationship Id="rId35" Type="http://schemas.openxmlformats.org/officeDocument/2006/relationships/hyperlink" Target="https://doi.org/10.1186/s12886-022-02419-6" TargetMode="External"/><Relationship Id="rId56" Type="http://schemas.openxmlformats.org/officeDocument/2006/relationships/hyperlink" Target="https://doi.org/10.1097/OPX.0000000000001812" TargetMode="External"/><Relationship Id="rId77" Type="http://schemas.openxmlformats.org/officeDocument/2006/relationships/hyperlink" Target="https://doi.org/10.1111/dmcn.70005" TargetMode="External"/><Relationship Id="rId100" Type="http://schemas.openxmlformats.org/officeDocument/2006/relationships/hyperlink" Target="https://doi.org/10.1177/1120672119852016" TargetMode="External"/><Relationship Id="rId105" Type="http://schemas.openxmlformats.org/officeDocument/2006/relationships/hyperlink" Target="https://doi.org/10.1007/s00417-009-1260-x" TargetMode="External"/><Relationship Id="rId8" Type="http://schemas.openxmlformats.org/officeDocument/2006/relationships/hyperlink" Target="https://doi.org/10.1016/j.eclinm.2021.101189" TargetMode="External"/><Relationship Id="rId51" Type="http://schemas.openxmlformats.org/officeDocument/2006/relationships/hyperlink" Target="https://doi.org/10.1371/journal.pone.0249052" TargetMode="External"/><Relationship Id="rId72" Type="http://schemas.openxmlformats.org/officeDocument/2006/relationships/hyperlink" Target="https://doi.org/10.1097/OPX.0b013e31812f5f24" TargetMode="External"/><Relationship Id="rId93" Type="http://schemas.openxmlformats.org/officeDocument/2006/relationships/hyperlink" Target="https://doi.org/10.1038/s41598-022-10952-z" TargetMode="External"/><Relationship Id="rId98" Type="http://schemas.openxmlformats.org/officeDocument/2006/relationships/hyperlink" Target="https://doi.org/10.1001/jamaophthalmol.2025.5057" TargetMode="External"/><Relationship Id="rId3" Type="http://schemas.openxmlformats.org/officeDocument/2006/relationships/hyperlink" Target="https://doi.org/10.1167/iovs.12-10404" TargetMode="External"/><Relationship Id="rId25" Type="http://schemas.openxmlformats.org/officeDocument/2006/relationships/hyperlink" Target="https://doi.org/10.1016/S0002-9394(00)00610-3" TargetMode="External"/><Relationship Id="rId46" Type="http://schemas.openxmlformats.org/officeDocument/2006/relationships/hyperlink" Target="https://doi.org/10.1111/opo.12362" TargetMode="External"/><Relationship Id="rId67" Type="http://schemas.openxmlformats.org/officeDocument/2006/relationships/hyperlink" Target="https://doi.org/10.1108/17506120910948511" TargetMode="External"/><Relationship Id="rId116" Type="http://schemas.openxmlformats.org/officeDocument/2006/relationships/hyperlink" Target="https://doi.org/10.1097/MD.0000000000019149" TargetMode="External"/><Relationship Id="rId20" Type="http://schemas.openxmlformats.org/officeDocument/2006/relationships/hyperlink" Target="https://doi.org/10.1002/14651858.CD001054.pub3" TargetMode="External"/><Relationship Id="rId41" Type="http://schemas.openxmlformats.org/officeDocument/2006/relationships/hyperlink" Target="https://doi.org/10.1080/10888438.2021.1969402" TargetMode="External"/><Relationship Id="rId62" Type="http://schemas.openxmlformats.org/officeDocument/2006/relationships/hyperlink" Target="https://doi.org/10.1007/s10484-009-9083-4" TargetMode="External"/><Relationship Id="rId83" Type="http://schemas.openxmlformats.org/officeDocument/2006/relationships/hyperlink" Target="https://doi.org/10.1111/ggi.12174" TargetMode="External"/><Relationship Id="rId88" Type="http://schemas.openxmlformats.org/officeDocument/2006/relationships/hyperlink" Target="https://doi.org/10.1167/iovs.67.1.28" TargetMode="External"/><Relationship Id="rId111" Type="http://schemas.openxmlformats.org/officeDocument/2006/relationships/hyperlink" Target="https://doi.org/10.1186/s12886-023-03219-2" TargetMode="External"/><Relationship Id="rId15" Type="http://schemas.openxmlformats.org/officeDocument/2006/relationships/hyperlink" Target="https://doi.org/10.1016/j.ogla.2021.03.005" TargetMode="External"/><Relationship Id="rId36" Type="http://schemas.openxmlformats.org/officeDocument/2006/relationships/hyperlink" Target="https://doi.org/10.1016/j.eclinm.2026.103858" TargetMode="External"/><Relationship Id="rId57" Type="http://schemas.openxmlformats.org/officeDocument/2006/relationships/hyperlink" Target="https://doi.org/10.3390/audiolres15060169" TargetMode="External"/><Relationship Id="rId106" Type="http://schemas.openxmlformats.org/officeDocument/2006/relationships/hyperlink" Target="https://doi.org/10.1177/2150131911429824" TargetMode="External"/><Relationship Id="rId121" Type="http://schemas.openxmlformats.org/officeDocument/2006/relationships/hyperlink" Target="https://doi.org/10.1167/tvst.13.9.20" TargetMode="External"/><Relationship Id="rId122" Type="http://schemas.openxmlformats.org/officeDocument/2006/relationships/hyperlink" Target="https://doi.org/10.1016/j.ogla.2023.04.007" TargetMode="External"/><Relationship Id="rId123" Type="http://schemas.openxmlformats.org/officeDocument/2006/relationships/hyperlink" Target="https://doi.org/10.3390/life16010012" TargetMode="External"/><Relationship Id="rId124" Type="http://schemas.openxmlformats.org/officeDocument/2006/relationships/hyperlink" Target="https://doi.org/10.1167/iovs.17-21520" TargetMode="External"/><Relationship Id="rId125" Type="http://schemas.openxmlformats.org/officeDocument/2006/relationships/hyperlink" Target="https://doi.org/10.1167/iovs.14-14138" TargetMode="External"/><Relationship Id="rId126" Type="http://schemas.openxmlformats.org/officeDocument/2006/relationships/hyperlink" Target="https://doi.org/10.1097/IJG.0000000000000600" TargetMode="External"/><Relationship Id="rId127" Type="http://schemas.openxmlformats.org/officeDocument/2006/relationships/hyperlink" Target="https://doi.org/10.1016/j.ophtha.2022.10.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zoomScaleNormal="100" workbookViewId="0"/>
  </sheetViews>
  <sheetFormatPr baseColWidth="10" defaultColWidth="8.6640625" defaultRowHeight="15" x14ac:dyDescent="0.2"/>
  <cols>
    <col min="1" max="1" width="79.6640625" customWidth="1"/>
    <col min="2" max="2" width="100" customWidth="1"/>
  </cols>
  <sheetData>
    <row r="1" spans="1:2" ht="18" customHeight="1" x14ac:dyDescent="0.2">
      <c r="A1" s="1" t="s">
        <v>0</v>
      </c>
    </row>
    <row r="3" spans="1:2" x14ac:dyDescent="0.2">
      <c r="A3" s="2" t="s">
        <v>1</v>
      </c>
      <c r="B3" s="3"/>
    </row>
    <row r="4" spans="1:2" x14ac:dyDescent="0.2">
      <c r="A4" s="4" t="s">
        <v>2</v>
      </c>
      <c r="B4" s="3" t="s">
        <v>3</v>
      </c>
    </row>
    <row r="5" spans="1:2" x14ac:dyDescent="0.2">
      <c r="A5" s="4" t="s">
        <v>4</v>
      </c>
      <c r="B5" s="3" t="s">
        <v>5</v>
      </c>
    </row>
    <row r="6" spans="1:2" x14ac:dyDescent="0.2">
      <c r="A6" s="4" t="s">
        <v>6</v>
      </c>
      <c r="B6" s="3" t="s">
        <v>7</v>
      </c>
    </row>
    <row r="7" spans="1:2" x14ac:dyDescent="0.2">
      <c r="A7" s="4" t="s">
        <v>8</v>
      </c>
      <c r="B7" s="3" t="s">
        <v>9</v>
      </c>
    </row>
    <row r="8" spans="1:2" x14ac:dyDescent="0.2">
      <c r="A8" s="4" t="s">
        <v>10</v>
      </c>
      <c r="B8" s="3" t="s">
        <v>11</v>
      </c>
    </row>
    <row r="9" spans="1:2" x14ac:dyDescent="0.2">
      <c r="A9" s="4" t="s">
        <v>12</v>
      </c>
      <c r="B9" s="3" t="s">
        <v>13</v>
      </c>
    </row>
    <row r="10" spans="1:2" x14ac:dyDescent="0.2">
      <c r="A10" s="4" t="s">
        <v>14</v>
      </c>
      <c r="B10" s="3" t="s">
        <v>15</v>
      </c>
    </row>
    <row r="11" spans="1:2" x14ac:dyDescent="0.2">
      <c r="A11" s="4"/>
      <c r="B11" s="3"/>
    </row>
    <row r="12" spans="1:2" x14ac:dyDescent="0.2">
      <c r="A12" s="2" t="s">
        <v>16</v>
      </c>
      <c r="B12" s="3"/>
    </row>
    <row r="13" spans="1:2" ht="30" customHeight="1" x14ac:dyDescent="0.2">
      <c r="A13" s="4" t="s">
        <v>17</v>
      </c>
      <c r="B13" s="3" t="s">
        <v>18</v>
      </c>
    </row>
    <row r="14" spans="1:2" ht="30" customHeight="1" x14ac:dyDescent="0.2">
      <c r="A14" s="4" t="s">
        <v>19</v>
      </c>
      <c r="B14" s="3" t="s">
        <v>20</v>
      </c>
    </row>
    <row r="15" spans="1:2" x14ac:dyDescent="0.2">
      <c r="A15" s="4"/>
      <c r="B15" s="3"/>
    </row>
    <row r="16" spans="1:2" x14ac:dyDescent="0.2">
      <c r="A16" s="2" t="s">
        <v>21</v>
      </c>
      <c r="B16" s="3"/>
    </row>
    <row r="17" spans="1:2" x14ac:dyDescent="0.2">
      <c r="A17" s="4" t="s">
        <v>22</v>
      </c>
      <c r="B17" s="3" t="s">
        <v>19</v>
      </c>
    </row>
    <row r="18" spans="1:2" x14ac:dyDescent="0.2">
      <c r="A18" s="4" t="s">
        <v>23</v>
      </c>
      <c r="B18" s="3" t="s">
        <v>24</v>
      </c>
    </row>
    <row r="19" spans="1:2" x14ac:dyDescent="0.2">
      <c r="A19" s="4" t="s">
        <v>25</v>
      </c>
      <c r="B19" s="3" t="s">
        <v>26</v>
      </c>
    </row>
    <row r="21" spans="1:2" ht="30" x14ac:dyDescent="0.2">
      <c r="A21" s="5" t="s">
        <v>27</v>
      </c>
      <c r="B21" s="6"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6"/>
  <sheetViews>
    <sheetView tabSelected="1" zoomScaleNormal="100" workbookViewId="0">
      <pane xSplit="4" ySplit="1" topLeftCell="F33" activePane="bottomRight" state="frozen"/>
      <selection pane="topRight" activeCell="E1" sqref="E1"/>
      <selection pane="bottomLeft" activeCell="A2" sqref="A2"/>
      <selection pane="bottomRight" activeCell="D42" sqref="D42"/>
    </sheetView>
  </sheetViews>
  <sheetFormatPr baseColWidth="10" defaultColWidth="8.6640625" defaultRowHeight="15" x14ac:dyDescent="0.2"/>
  <cols>
    <col min="1" max="1" width="6" customWidth="1"/>
    <col min="2" max="2" width="7" customWidth="1"/>
    <col min="3" max="3" width="24" customWidth="1"/>
    <col min="4" max="4" width="45" customWidth="1"/>
    <col min="5" max="5" width="24" customWidth="1"/>
    <col min="6" max="6" width="14" customWidth="1"/>
    <col min="7" max="7" width="80" customWidth="1"/>
    <col min="8" max="8" width="16" customWidth="1"/>
    <col min="9" max="9" width="28" customWidth="1"/>
    <col min="10" max="10" width="14" customWidth="1"/>
    <col min="11" max="11" width="28" customWidth="1"/>
    <col min="12" max="12" width="30" customWidth="1"/>
    <col min="13" max="13" width="12" customWidth="1"/>
    <col min="14" max="14" width="16" customWidth="1"/>
    <col min="15" max="15" width="28" customWidth="1"/>
    <col min="16" max="16" width="55" customWidth="1"/>
    <col min="17" max="17" width="16" customWidth="1"/>
    <col min="18" max="18" width="28" customWidth="1"/>
    <col min="19" max="19" width="60" customWidth="1"/>
  </cols>
  <sheetData>
    <row r="1" spans="1:19" ht="31.5" customHeight="1" x14ac:dyDescent="0.2">
      <c r="A1" s="7" t="s">
        <v>29</v>
      </c>
      <c r="B1" s="7" t="s">
        <v>30</v>
      </c>
      <c r="C1" s="7" t="s">
        <v>31</v>
      </c>
      <c r="D1" s="7" t="s">
        <v>32</v>
      </c>
      <c r="E1" s="7" t="s">
        <v>33</v>
      </c>
      <c r="F1" s="7" t="s">
        <v>34</v>
      </c>
      <c r="G1" s="7" t="s">
        <v>35</v>
      </c>
      <c r="H1" s="7" t="s">
        <v>22</v>
      </c>
      <c r="I1" s="7" t="s">
        <v>36</v>
      </c>
      <c r="J1" s="7" t="s">
        <v>37</v>
      </c>
      <c r="K1" s="7" t="s">
        <v>38</v>
      </c>
      <c r="L1" s="7" t="s">
        <v>25</v>
      </c>
      <c r="M1" s="7" t="s">
        <v>39</v>
      </c>
      <c r="N1" s="8" t="s">
        <v>40</v>
      </c>
      <c r="O1" s="8" t="s">
        <v>41</v>
      </c>
      <c r="P1" s="8" t="s">
        <v>42</v>
      </c>
      <c r="Q1" s="8" t="inlineStr">
        <is>
          <t>Independent T/A decision (AI)</t>
        </is>
      </c>
      <c r="R1" s="8" t="inlineStr">
        <is>
          <t>Independent exclusion reason (AI)</t>
        </is>
      </c>
      <c r="S1" s="8" t="inlineStr">
        <is>
          <t>Independent rationale (AI)</t>
        </is>
      </c>
    </row>
    <row r="2" spans="1:19" ht="90" customHeight="1" x14ac:dyDescent="0.2">
      <c r="A2" s="9">
        <v>1</v>
      </c>
      <c r="B2" s="9"/>
      <c r="C2" s="9"/>
      <c r="D2" s="9" t="s">
        <v>795</v>
      </c>
      <c r="E2" s="9" t="s">
        <v>43</v>
      </c>
      <c r="F2" s="10" t="s">
        <v>44</v>
      </c>
      <c r="G2" s="9" t="s">
        <v>45</v>
      </c>
      <c r="H2" s="11" t="s">
        <v>19</v>
      </c>
      <c r="I2" s="11" t="s">
        <v>24</v>
      </c>
      <c r="J2" s="11"/>
      <c r="K2" s="11"/>
      <c r="L2" s="11"/>
      <c r="M2" s="9" t="s">
        <v>46</v>
      </c>
      <c r="N2" s="12" t="s">
        <v>19</v>
      </c>
      <c r="O2" s="12" t="s">
        <v>47</v>
      </c>
      <c r="P2" s="12" t="s">
        <v>48</v>
      </c>
      <c r="Q2" s="12" t="inlineStr">
        <is>
          <t>Exclude</t>
        </is>
      </c>
      <c r="R2" s="12" t="inlineStr">
        <is>
          <t>Wrong population (not adults)</t>
        </is>
      </c>
      <c r="S2" s="12" t="inlineStr">
        <is>
          <t>Study of social support for high school students with visual impairment; children only and no self-report vision instrument evaluated.</t>
        </is>
      </c>
    </row>
    <row r="3" spans="1:19" ht="90" customHeight="1" x14ac:dyDescent="0.2">
      <c r="A3" s="9">
        <v>2</v>
      </c>
      <c r="B3" s="9">
        <v>2020</v>
      </c>
      <c r="C3" s="9" t="s">
        <v>49</v>
      </c>
      <c r="D3" s="9" t="s">
        <v>50</v>
      </c>
      <c r="E3" s="9" t="s">
        <v>51</v>
      </c>
      <c r="F3" s="10" t="s">
        <v>52</v>
      </c>
      <c r="G3" s="13" t="s">
        <v>53</v>
      </c>
      <c r="H3" s="11" t="s">
        <v>19</v>
      </c>
      <c r="I3" s="11" t="s">
        <v>24</v>
      </c>
      <c r="J3" s="11"/>
      <c r="K3" s="11"/>
      <c r="L3" s="11"/>
      <c r="M3" s="9" t="s">
        <v>54</v>
      </c>
      <c r="N3" s="12" t="s">
        <v>19</v>
      </c>
      <c r="O3" s="12" t="s">
        <v>55</v>
      </c>
      <c r="P3" s="12" t="s">
        <v>56</v>
      </c>
      <c r="Q3" s="12" t="inlineStr">
        <is>
          <t>Exclude</t>
        </is>
      </c>
      <c r="R3" s="12" t="inlineStr">
        <is>
          <t>Other (see notes)</t>
        </is>
      </c>
      <c r="S3" s="12" t="inlineStr">
        <is>
          <t>Case series of 2 patients fitted with multifocal RGP lenses; VFQ-25 used only as an outcome. Case series are excluded.</t>
        </is>
      </c>
    </row>
    <row r="4" spans="1:19" ht="90" customHeight="1" x14ac:dyDescent="0.2">
      <c r="A4" s="9">
        <v>3</v>
      </c>
      <c r="B4" s="9">
        <v>2012</v>
      </c>
      <c r="C4" s="9" t="s">
        <v>57</v>
      </c>
      <c r="D4" s="9" t="s">
        <v>58</v>
      </c>
      <c r="E4" s="9" t="s">
        <v>59</v>
      </c>
      <c r="F4" s="10" t="s">
        <v>52</v>
      </c>
      <c r="G4" s="9" t="s">
        <v>60</v>
      </c>
      <c r="H4" s="11" t="s">
        <v>19</v>
      </c>
      <c r="I4" s="11" t="s">
        <v>24</v>
      </c>
      <c r="J4" s="11"/>
      <c r="K4" s="11"/>
      <c r="L4" s="11"/>
      <c r="M4" s="9" t="s">
        <v>61</v>
      </c>
      <c r="N4" s="12" t="s">
        <v>19</v>
      </c>
      <c r="O4" s="12" t="s">
        <v>62</v>
      </c>
      <c r="P4" s="12" t="s">
        <v>63</v>
      </c>
      <c r="Q4" s="12" t="inlineStr">
        <is>
          <t>Exclude</t>
        </is>
      </c>
      <c r="R4" s="12" t="inlineStr">
        <is>
          <t>No accuracy/validation data</t>
        </is>
      </c>
      <c r="S4" s="12" t="inlineStr">
        <is>
          <t>Cross-sectional study of factors linked to adjustment to vision loss; AS-WAS and self-reported activity limitation are used as outcome/predictors, not evaluated as instruments.</t>
        </is>
      </c>
    </row>
    <row r="5" spans="1:19" ht="90" customHeight="1" x14ac:dyDescent="0.2">
      <c r="A5" s="9">
        <v>4</v>
      </c>
      <c r="B5" s="9">
        <v>2022</v>
      </c>
      <c r="C5" s="9" t="s">
        <v>64</v>
      </c>
      <c r="D5" s="9" t="s">
        <v>65</v>
      </c>
      <c r="E5" s="9" t="s">
        <v>66</v>
      </c>
      <c r="F5" s="10" t="s">
        <v>52</v>
      </c>
      <c r="G5" s="13" t="s">
        <v>67</v>
      </c>
      <c r="H5" s="11" t="s">
        <v>19</v>
      </c>
      <c r="I5" s="11" t="s">
        <v>24</v>
      </c>
      <c r="J5" s="11"/>
      <c r="K5" s="11"/>
      <c r="L5" s="11"/>
      <c r="M5" s="9" t="s">
        <v>68</v>
      </c>
      <c r="N5" s="12" t="s">
        <v>19</v>
      </c>
      <c r="O5" s="12" t="s">
        <v>69</v>
      </c>
      <c r="P5" s="12" t="s">
        <v>70</v>
      </c>
      <c r="Q5" s="12" t="inlineStr">
        <is>
          <t>Exclude</t>
        </is>
      </c>
      <c r="R5" s="12" t="inlineStr">
        <is>
          <t>Review/opinion/editorial</t>
        </is>
      </c>
      <c r="S5" s="12" t="inlineStr">
        <is>
          <t>Narrative overview of preferred retinal locus and biofeedback training; no questionnaire evaluation.</t>
        </is>
      </c>
    </row>
    <row r="6" spans="1:19" ht="90" customHeight="1" x14ac:dyDescent="0.2">
      <c r="A6" s="9">
        <v>5</v>
      </c>
      <c r="B6" s="9">
        <v>2012</v>
      </c>
      <c r="C6" s="9" t="s">
        <v>71</v>
      </c>
      <c r="D6" s="9" t="s">
        <v>72</v>
      </c>
      <c r="E6" s="9" t="s">
        <v>73</v>
      </c>
      <c r="F6" s="10" t="s">
        <v>52</v>
      </c>
      <c r="G6" s="9" t="s">
        <v>74</v>
      </c>
      <c r="H6" s="11" t="s">
        <v>17</v>
      </c>
      <c r="I6" s="11"/>
      <c r="J6" s="11"/>
      <c r="K6" s="11"/>
      <c r="L6" s="11"/>
      <c r="M6" s="9" t="s">
        <v>75</v>
      </c>
      <c r="N6" s="12" t="s">
        <v>76</v>
      </c>
      <c r="O6" s="12"/>
      <c r="P6" s="12" t="s">
        <v>77</v>
      </c>
      <c r="Q6" s="12" t="inlineStr">
        <is>
          <t>Include</t>
        </is>
      </c>
      <c r="R6" s="12"/>
      <c r="S6" s="12" t="inlineStr">
        <is>
          <t>Rasch analysis of the APEDS-VFQ visual function questionnaire in 351 visually impaired adults; psychometric validation of a self-report vision instrument.</t>
        </is>
      </c>
    </row>
    <row r="7" spans="1:19" ht="90" customHeight="1" x14ac:dyDescent="0.2">
      <c r="A7" s="9">
        <v>6</v>
      </c>
      <c r="B7" s="9">
        <v>2020</v>
      </c>
      <c r="C7" s="9" t="s">
        <v>78</v>
      </c>
      <c r="D7" s="9" t="s">
        <v>79</v>
      </c>
      <c r="E7" s="9" t="s">
        <v>80</v>
      </c>
      <c r="F7" s="10" t="s">
        <v>52</v>
      </c>
      <c r="G7" s="9" t="s">
        <v>81</v>
      </c>
      <c r="H7" s="11" t="s">
        <v>19</v>
      </c>
      <c r="I7" s="11" t="s">
        <v>24</v>
      </c>
      <c r="J7" s="11"/>
      <c r="K7" s="11"/>
      <c r="L7" s="11"/>
      <c r="M7" s="9" t="s">
        <v>82</v>
      </c>
      <c r="N7" s="12" t="s">
        <v>19</v>
      </c>
      <c r="O7" s="12" t="s">
        <v>62</v>
      </c>
      <c r="P7" s="12" t="s">
        <v>83</v>
      </c>
      <c r="Q7" s="12" t="inlineStr">
        <is>
          <t>Exclude</t>
        </is>
      </c>
      <c r="R7" s="12" t="inlineStr">
        <is>
          <t>No accuracy/validation data</t>
        </is>
      </c>
      <c r="S7" s="12" t="inlineStr">
        <is>
          <t>Nursing-home teleophthalmology study; the NHVQoL questionnaire is administered descriptively, with no accuracy or psychometric evaluation of it.</t>
        </is>
      </c>
    </row>
    <row r="8" spans="1:19" ht="90" customHeight="1" x14ac:dyDescent="0.2">
      <c r="A8" s="9">
        <v>7</v>
      </c>
      <c r="B8" s="9">
        <v>2009</v>
      </c>
      <c r="C8" s="9" t="s">
        <v>84</v>
      </c>
      <c r="D8" s="9" t="s">
        <v>85</v>
      </c>
      <c r="E8" s="9" t="s">
        <v>86</v>
      </c>
      <c r="F8" s="10" t="s">
        <v>52</v>
      </c>
      <c r="G8" s="13" t="s">
        <v>87</v>
      </c>
      <c r="H8" s="11" t="s">
        <v>19</v>
      </c>
      <c r="I8" s="11" t="s">
        <v>24</v>
      </c>
      <c r="J8" s="11"/>
      <c r="K8" s="11"/>
      <c r="L8" s="11"/>
      <c r="M8" s="9" t="s">
        <v>88</v>
      </c>
      <c r="N8" s="12" t="s">
        <v>19</v>
      </c>
      <c r="O8" s="12" t="s">
        <v>47</v>
      </c>
      <c r="P8" s="12" t="s">
        <v>89</v>
      </c>
      <c r="Q8" s="12" t="inlineStr">
        <is>
          <t>Exclude</t>
        </is>
      </c>
      <c r="R8" s="12" t="inlineStr">
        <is>
          <t>No questionnaire/screening item</t>
        </is>
      </c>
      <c r="S8" s="12" t="inlineStr">
        <is>
          <t>Survey of teachers on assistive technology for blind and low-vision students; no self-report vision instrument is evaluated.</t>
        </is>
      </c>
    </row>
    <row r="9" spans="1:19" ht="90" customHeight="1" x14ac:dyDescent="0.2">
      <c r="A9" s="9">
        <v>8</v>
      </c>
      <c r="B9" s="9">
        <v>2021</v>
      </c>
      <c r="C9" s="9" t="s">
        <v>90</v>
      </c>
      <c r="D9" s="9" t="s">
        <v>91</v>
      </c>
      <c r="E9" s="9" t="s">
        <v>92</v>
      </c>
      <c r="F9" s="10" t="s">
        <v>52</v>
      </c>
      <c r="G9" s="9" t="s">
        <v>93</v>
      </c>
      <c r="H9" s="11" t="s">
        <v>19</v>
      </c>
      <c r="I9" s="11" t="s">
        <v>24</v>
      </c>
      <c r="J9" s="11"/>
      <c r="K9" s="11"/>
      <c r="L9" s="11"/>
      <c r="M9" s="9" t="s">
        <v>94</v>
      </c>
      <c r="N9" s="12" t="s">
        <v>19</v>
      </c>
      <c r="O9" s="12" t="s">
        <v>95</v>
      </c>
      <c r="P9" s="12" t="s">
        <v>96</v>
      </c>
      <c r="Q9" s="12" t="inlineStr">
        <is>
          <t>Exclude</t>
        </is>
      </c>
      <c r="R9" s="12" t="inlineStr">
        <is>
          <t>No questionnaire/screening item</t>
        </is>
      </c>
      <c r="S9" s="12" t="inlineStr">
        <is>
          <t>UK Biobank cohort linking measured visual acuity to incident Parkinson's disease; no self-report vision instrument.</t>
        </is>
      </c>
    </row>
    <row r="10" spans="1:19" ht="90" customHeight="1" x14ac:dyDescent="0.2">
      <c r="A10" s="9">
        <v>9</v>
      </c>
      <c r="B10" s="9">
        <v>2026</v>
      </c>
      <c r="C10" s="9" t="s">
        <v>97</v>
      </c>
      <c r="D10" s="9" t="s">
        <v>98</v>
      </c>
      <c r="E10" s="9" t="s">
        <v>99</v>
      </c>
      <c r="F10" s="10" t="s">
        <v>52</v>
      </c>
      <c r="G10" s="13" t="s">
        <v>100</v>
      </c>
      <c r="H10" s="11" t="s">
        <v>19</v>
      </c>
      <c r="I10" s="11" t="s">
        <v>24</v>
      </c>
      <c r="J10" s="11"/>
      <c r="K10" s="11"/>
      <c r="L10" s="11"/>
      <c r="M10" s="9" t="s">
        <v>101</v>
      </c>
      <c r="N10" s="12" t="s">
        <v>19</v>
      </c>
      <c r="O10" s="12" t="s">
        <v>24</v>
      </c>
      <c r="P10" s="12" t="s">
        <v>102</v>
      </c>
      <c r="Q10" s="12" t="inlineStr">
        <is>
          <t>Exclude</t>
        </is>
      </c>
      <c r="R10" s="12" t="inlineStr">
        <is>
          <t>No questionnaire/screening item</t>
        </is>
      </c>
      <c r="S10" s="12" t="inlineStr">
        <is>
          <t>NHATS analysis of measured VI (acuity, contrast) and homebound status; no self-report vision instrument is evaluated.</t>
        </is>
      </c>
    </row>
    <row r="11" spans="1:19" ht="90" customHeight="1" x14ac:dyDescent="0.2">
      <c r="A11" s="9">
        <v>10</v>
      </c>
      <c r="B11" s="9">
        <v>2026</v>
      </c>
      <c r="C11" s="9" t="s">
        <v>103</v>
      </c>
      <c r="D11" s="9" t="s">
        <v>104</v>
      </c>
      <c r="E11" s="9" t="s">
        <v>105</v>
      </c>
      <c r="F11" s="10" t="s">
        <v>52</v>
      </c>
      <c r="G11" s="9" t="s">
        <v>106</v>
      </c>
      <c r="H11" s="11" t="s">
        <v>19</v>
      </c>
      <c r="I11" s="11" t="s">
        <v>24</v>
      </c>
      <c r="J11" s="11"/>
      <c r="K11" s="11"/>
      <c r="L11" s="11"/>
      <c r="M11" s="9" t="s">
        <v>107</v>
      </c>
      <c r="N11" s="12" t="s">
        <v>19</v>
      </c>
      <c r="O11" s="12" t="s">
        <v>95</v>
      </c>
      <c r="P11" s="12" t="s">
        <v>108</v>
      </c>
      <c r="Q11" s="12" t="inlineStr">
        <is>
          <t>Exclude</t>
        </is>
      </c>
      <c r="R11" s="12" t="inlineStr">
        <is>
          <t>No accuracy/validation data</t>
        </is>
      </c>
      <c r="S11" s="12" t="inlineStr">
        <is>
          <t>Epidemiological study of diet, mold exposure and VI in older Chinese adults; the VI assessment is only an outcome and is not itself evaluated.</t>
        </is>
      </c>
    </row>
    <row r="12" spans="1:19" ht="90" customHeight="1" x14ac:dyDescent="0.2">
      <c r="A12" s="9">
        <v>11</v>
      </c>
      <c r="B12" s="9">
        <v>2023</v>
      </c>
      <c r="C12" s="9" t="s">
        <v>109</v>
      </c>
      <c r="D12" s="9" t="s">
        <v>110</v>
      </c>
      <c r="E12" s="9" t="s">
        <v>111</v>
      </c>
      <c r="F12" s="10" t="s">
        <v>44</v>
      </c>
      <c r="G12" s="13" t="s">
        <v>112</v>
      </c>
      <c r="H12" s="11" t="s">
        <v>19</v>
      </c>
      <c r="I12" s="11" t="s">
        <v>95</v>
      </c>
      <c r="J12" s="11"/>
      <c r="K12" s="11"/>
      <c r="L12" s="11"/>
      <c r="M12" s="9" t="s">
        <v>113</v>
      </c>
      <c r="N12" s="12" t="s">
        <v>19</v>
      </c>
      <c r="O12" s="12" t="s">
        <v>95</v>
      </c>
      <c r="P12" s="12" t="s">
        <v>114</v>
      </c>
      <c r="Q12" s="12" t="inlineStr">
        <is>
          <t>Exclude</t>
        </is>
      </c>
      <c r="R12" s="12" t="inlineStr">
        <is>
          <t>Not about low vision/visual function</t>
        </is>
      </c>
      <c r="S12" s="12" t="inlineStr">
        <is>
          <t>Usability questionnaire for an e-learning course and colour-contrast check; the self-report is about learning preferences, not vision.</t>
        </is>
      </c>
    </row>
    <row r="13" spans="1:19" ht="90" customHeight="1" x14ac:dyDescent="0.2">
      <c r="A13" s="9">
        <v>12</v>
      </c>
      <c r="B13" s="9">
        <v>2012</v>
      </c>
      <c r="C13" s="9" t="s">
        <v>115</v>
      </c>
      <c r="D13" s="9" t="s">
        <v>116</v>
      </c>
      <c r="E13" s="9" t="s">
        <v>117</v>
      </c>
      <c r="F13" s="10" t="s">
        <v>52</v>
      </c>
      <c r="G13" s="9" t="s">
        <v>118</v>
      </c>
      <c r="H13" s="11" t="s">
        <v>19</v>
      </c>
      <c r="I13" s="11" t="s">
        <v>95</v>
      </c>
      <c r="J13" s="11"/>
      <c r="K13" s="11"/>
      <c r="L13" s="11"/>
      <c r="M13" s="9" t="s">
        <v>119</v>
      </c>
      <c r="N13" s="12" t="s">
        <v>76</v>
      </c>
      <c r="O13" s="12"/>
      <c r="P13" s="12" t="s">
        <v>120</v>
      </c>
      <c r="Q13" s="12" t="inlineStr">
        <is>
          <t>Maybe</t>
        </is>
      </c>
      <c r="R13" s="12"/>
      <c r="S13" s="12" t="inlineStr">
        <is>
          <t>LVROS baseline of 764 LVR patients; reports that VA correlates poorly with self-reported vision quality, relevant to LVR referral. Unclear if any instrument is formally evaluated.</t>
        </is>
      </c>
    </row>
    <row r="14" spans="1:19" ht="90" customHeight="1" x14ac:dyDescent="0.2">
      <c r="A14" s="9">
        <v>13</v>
      </c>
      <c r="B14" s="9">
        <v>2019</v>
      </c>
      <c r="C14" s="9" t="s">
        <v>121</v>
      </c>
      <c r="D14" s="9" t="s">
        <v>122</v>
      </c>
      <c r="E14" s="9" t="s">
        <v>123</v>
      </c>
      <c r="F14" s="10" t="s">
        <v>52</v>
      </c>
      <c r="G14" s="9" t="s">
        <v>124</v>
      </c>
      <c r="H14" s="11" t="s">
        <v>19</v>
      </c>
      <c r="I14" s="11" t="s">
        <v>24</v>
      </c>
      <c r="J14" s="11"/>
      <c r="K14" s="11"/>
      <c r="L14" s="11"/>
      <c r="M14" s="9" t="s">
        <v>125</v>
      </c>
      <c r="N14" s="12" t="s">
        <v>19</v>
      </c>
      <c r="O14" s="12" t="s">
        <v>55</v>
      </c>
      <c r="P14" s="12" t="s">
        <v>126</v>
      </c>
      <c r="Q14" s="12" t="inlineStr">
        <is>
          <t>Exclude</t>
        </is>
      </c>
      <c r="R14" s="12" t="inlineStr">
        <is>
          <t>Intervention study only</t>
        </is>
      </c>
      <c r="S14" s="12" t="inlineStr">
        <is>
          <t>Evaluation of a head-mounted electronic low vision aid; the questionnaire only records willingness to use the device.</t>
        </is>
      </c>
    </row>
    <row r="15" spans="1:19" ht="90" customHeight="1" x14ac:dyDescent="0.2">
      <c r="A15" s="9">
        <v>14</v>
      </c>
      <c r="B15" s="9">
        <v>2020</v>
      </c>
      <c r="C15" s="9" t="s">
        <v>127</v>
      </c>
      <c r="D15" s="9" t="s">
        <v>128</v>
      </c>
      <c r="E15" s="9"/>
      <c r="F15" s="9" t="s">
        <v>129</v>
      </c>
      <c r="G15" s="9" t="s">
        <v>130</v>
      </c>
      <c r="H15" s="11" t="s">
        <v>19</v>
      </c>
      <c r="I15" s="11" t="s">
        <v>55</v>
      </c>
      <c r="J15" s="11"/>
      <c r="K15" s="11"/>
      <c r="L15" s="11"/>
      <c r="M15" s="9" t="s">
        <v>131</v>
      </c>
      <c r="N15" s="12" t="s">
        <v>19</v>
      </c>
      <c r="O15" s="12" t="s">
        <v>55</v>
      </c>
      <c r="P15" s="12" t="s">
        <v>132</v>
      </c>
      <c r="Q15" s="12" t="inlineStr">
        <is>
          <t>Exclude</t>
        </is>
      </c>
      <c r="R15" s="12" t="inlineStr">
        <is>
          <t>Intervention study only</t>
        </is>
      </c>
      <c r="S15" s="12" t="inlineStr">
        <is>
          <t>Pilot study of VEP biofeedback rehabilitation in AMD; VFQ-25 used only as an outcome measure.</t>
        </is>
      </c>
    </row>
    <row r="16" spans="1:19" ht="90" customHeight="1" x14ac:dyDescent="0.2">
      <c r="A16" s="9">
        <v>15</v>
      </c>
      <c r="B16" s="9">
        <v>2019</v>
      </c>
      <c r="C16" s="9" t="s">
        <v>133</v>
      </c>
      <c r="D16" s="9" t="s">
        <v>134</v>
      </c>
      <c r="E16" s="9" t="s">
        <v>135</v>
      </c>
      <c r="F16" s="10" t="s">
        <v>52</v>
      </c>
      <c r="G16" s="13" t="s">
        <v>136</v>
      </c>
      <c r="H16" s="11" t="s">
        <v>19</v>
      </c>
      <c r="I16" s="11" t="s">
        <v>47</v>
      </c>
      <c r="J16" s="11"/>
      <c r="K16" s="11"/>
      <c r="L16" s="11"/>
      <c r="M16" s="9" t="s">
        <v>137</v>
      </c>
      <c r="N16" s="12" t="s">
        <v>19</v>
      </c>
      <c r="O16" s="12" t="s">
        <v>47</v>
      </c>
      <c r="P16" s="12" t="s">
        <v>138</v>
      </c>
      <c r="Q16" s="12" t="inlineStr">
        <is>
          <t>Exclude</t>
        </is>
      </c>
      <c r="R16" s="12" t="inlineStr">
        <is>
          <t>Wrong population (not adults)</t>
        </is>
      </c>
      <c r="S16" s="12" t="inlineStr">
        <is>
          <t>Review of paediatric assessment of cerebral visual impairment; children only.</t>
        </is>
      </c>
    </row>
    <row r="17" spans="1:19" ht="90" customHeight="1" x14ac:dyDescent="0.2">
      <c r="A17" s="9">
        <v>16</v>
      </c>
      <c r="B17" s="9">
        <v>2021</v>
      </c>
      <c r="C17" s="9" t="s">
        <v>139</v>
      </c>
      <c r="D17" s="9" t="s">
        <v>140</v>
      </c>
      <c r="E17" s="9" t="s">
        <v>141</v>
      </c>
      <c r="F17" s="10" t="s">
        <v>52</v>
      </c>
      <c r="G17" s="9" t="s">
        <v>142</v>
      </c>
      <c r="H17" s="11" t="s">
        <v>19</v>
      </c>
      <c r="I17" s="11" t="s">
        <v>24</v>
      </c>
      <c r="J17" s="11"/>
      <c r="K17" s="11"/>
      <c r="L17" s="11"/>
      <c r="M17" s="9" t="s">
        <v>143</v>
      </c>
      <c r="N17" s="12" t="s">
        <v>17</v>
      </c>
      <c r="O17" s="12"/>
      <c r="P17" s="12" t="s">
        <v>144</v>
      </c>
      <c r="Q17" s="12" t="inlineStr">
        <is>
          <t>Exclude</t>
        </is>
      </c>
      <c r="R17" s="12" t="inlineStr">
        <is>
          <t>No accuracy/validation data</t>
        </is>
      </c>
      <c r="S17" s="12" t="inlineStr">
        <is>
          <t>Chart review of glaucoma patients attending vision rehab; self-reported ADL difficulty only described alongside BCVA/VF/CS, intake instrument not evaluated. Useful background on glaucoma LVR referral.</t>
        </is>
      </c>
    </row>
    <row r="18" spans="1:19" ht="90" customHeight="1" x14ac:dyDescent="0.2">
      <c r="A18" s="9">
        <v>17</v>
      </c>
      <c r="B18" s="9">
        <v>2018</v>
      </c>
      <c r="C18" s="9" t="s">
        <v>145</v>
      </c>
      <c r="D18" s="9" t="s">
        <v>146</v>
      </c>
      <c r="E18" s="9" t="s">
        <v>147</v>
      </c>
      <c r="F18" s="10" t="s">
        <v>52</v>
      </c>
      <c r="G18" s="9" t="s">
        <v>148</v>
      </c>
      <c r="H18" s="11" t="s">
        <v>19</v>
      </c>
      <c r="I18" s="11" t="s">
        <v>24</v>
      </c>
      <c r="J18" s="11"/>
      <c r="K18" s="11"/>
      <c r="L18" s="11"/>
      <c r="M18" s="9" t="s">
        <v>149</v>
      </c>
      <c r="N18" s="12" t="s">
        <v>19</v>
      </c>
      <c r="O18" s="12" t="s">
        <v>55</v>
      </c>
      <c r="P18" s="12" t="s">
        <v>150</v>
      </c>
      <c r="Q18" s="12" t="inlineStr">
        <is>
          <t>Exclude</t>
        </is>
      </c>
      <c r="R18" s="12" t="inlineStr">
        <is>
          <t>Intervention study only</t>
        </is>
      </c>
      <c r="S18" s="12" t="inlineStr">
        <is>
          <t>Outcomes of mobile-clinic LVR measured with the Activity Inventory; MCID used to judge treatment effect, not to evaluate the instrument.</t>
        </is>
      </c>
    </row>
    <row r="19" spans="1:19" ht="90" customHeight="1" x14ac:dyDescent="0.2">
      <c r="A19" s="9">
        <v>18</v>
      </c>
      <c r="B19" s="9">
        <v>2015</v>
      </c>
      <c r="C19" s="9" t="s">
        <v>115</v>
      </c>
      <c r="D19" s="9" t="s">
        <v>151</v>
      </c>
      <c r="E19" s="9" t="s">
        <v>152</v>
      </c>
      <c r="F19" s="10" t="s">
        <v>52</v>
      </c>
      <c r="G19" s="9" t="s">
        <v>153</v>
      </c>
      <c r="H19" s="11" t="s">
        <v>76</v>
      </c>
      <c r="I19" s="11"/>
      <c r="J19" s="11"/>
      <c r="K19" s="11"/>
      <c r="L19" s="11"/>
      <c r="M19" s="9" t="s">
        <v>154</v>
      </c>
      <c r="N19" s="12" t="s">
        <v>19</v>
      </c>
      <c r="O19" s="12" t="s">
        <v>55</v>
      </c>
      <c r="P19" s="12" t="s">
        <v>155</v>
      </c>
      <c r="Q19" s="12" t="inlineStr">
        <is>
          <t>Exclude</t>
        </is>
      </c>
      <c r="R19" s="12" t="inlineStr">
        <is>
          <t>Intervention study only</t>
        </is>
      </c>
      <c r="S19" s="12" t="inlineStr">
        <is>
          <t>LVROS outcomes of usual LVR care measured with the Activity Inventory; MCID used to quantify rehab effect, not measurement properties.</t>
        </is>
      </c>
    </row>
    <row r="20" spans="1:19" ht="90" customHeight="1" x14ac:dyDescent="0.2">
      <c r="A20" s="9">
        <v>19</v>
      </c>
      <c r="B20" s="9">
        <v>2008</v>
      </c>
      <c r="C20" s="9" t="s">
        <v>156</v>
      </c>
      <c r="D20" s="9" t="s">
        <v>157</v>
      </c>
      <c r="E20" s="9" t="s">
        <v>158</v>
      </c>
      <c r="F20" s="10" t="s">
        <v>52</v>
      </c>
      <c r="G20" s="9" t="s">
        <v>159</v>
      </c>
      <c r="H20" s="11" t="s">
        <v>19</v>
      </c>
      <c r="I20" s="11" t="s">
        <v>95</v>
      </c>
      <c r="J20" s="11"/>
      <c r="K20" s="11"/>
      <c r="L20" s="11"/>
      <c r="M20" s="9" t="s">
        <v>160</v>
      </c>
      <c r="N20" s="12" t="s">
        <v>19</v>
      </c>
      <c r="O20" s="12" t="s">
        <v>62</v>
      </c>
      <c r="P20" s="12" t="s">
        <v>161</v>
      </c>
      <c r="Q20" s="12" t="inlineStr">
        <is>
          <t>Exclude</t>
        </is>
      </c>
      <c r="R20" s="12" t="inlineStr">
        <is>
          <t>No accuracy/validation data</t>
        </is>
      </c>
      <c r="S20" s="12" t="inlineStr">
        <is>
          <t>Path analysis of cognitive appraisals, distress and self-reported disability in LVR patients; questionnaires used as predictors/outcomes, not evaluated.</t>
        </is>
      </c>
    </row>
    <row r="21" spans="1:19" ht="90" customHeight="1" x14ac:dyDescent="0.2">
      <c r="A21" s="9">
        <v>20</v>
      </c>
      <c r="B21" s="9">
        <v>2019</v>
      </c>
      <c r="C21" s="9" t="s">
        <v>162</v>
      </c>
      <c r="D21" s="9" t="s">
        <v>163</v>
      </c>
      <c r="E21" s="9" t="s">
        <v>164</v>
      </c>
      <c r="F21" s="10" t="s">
        <v>52</v>
      </c>
      <c r="G21" s="13" t="s">
        <v>165</v>
      </c>
      <c r="H21" s="11" t="s">
        <v>76</v>
      </c>
      <c r="I21" s="11"/>
      <c r="J21" s="11"/>
      <c r="K21" s="11"/>
      <c r="L21" s="11"/>
      <c r="M21" s="9" t="s">
        <v>166</v>
      </c>
      <c r="N21" s="12" t="s">
        <v>19</v>
      </c>
      <c r="O21" s="12" t="s">
        <v>69</v>
      </c>
      <c r="P21" s="12" t="s">
        <v>167</v>
      </c>
      <c r="Q21" s="12" t="inlineStr">
        <is>
          <t>Exclude</t>
        </is>
      </c>
      <c r="R21" s="12" t="inlineStr">
        <is>
          <t>Review/opinion/editorial</t>
        </is>
      </c>
      <c r="S21" s="12" t="inlineStr">
        <is>
          <t>Narrative review of low vision examination and rehabilitation stages; no original questionnaire data.</t>
        </is>
      </c>
    </row>
    <row r="22" spans="1:19" ht="90" customHeight="1" x14ac:dyDescent="0.2">
      <c r="A22" s="9">
        <v>21</v>
      </c>
      <c r="B22" s="9">
        <v>2018</v>
      </c>
      <c r="C22" s="9" t="s">
        <v>168</v>
      </c>
      <c r="D22" s="9" t="s">
        <v>169</v>
      </c>
      <c r="E22" s="9" t="s">
        <v>170</v>
      </c>
      <c r="F22" s="10" t="s">
        <v>52</v>
      </c>
      <c r="G22" s="9" t="s">
        <v>171</v>
      </c>
      <c r="H22" s="11" t="s">
        <v>19</v>
      </c>
      <c r="I22" s="11" t="s">
        <v>24</v>
      </c>
      <c r="J22" s="11"/>
      <c r="K22" s="11"/>
      <c r="L22" s="11"/>
      <c r="M22" s="9" t="s">
        <v>172</v>
      </c>
      <c r="N22" s="12" t="s">
        <v>17</v>
      </c>
      <c r="O22" s="12"/>
      <c r="P22" s="12" t="s">
        <v>173</v>
      </c>
      <c r="Q22" s="12" t="inlineStr">
        <is>
          <t>Maybe</t>
        </is>
      </c>
      <c r="R22" s="12"/>
      <c r="S22" s="12" t="inlineStr">
        <is>
          <t>Cochrane review of RCTs in which self-reported vision questions were the community screening tool; reports the effect of such screening on vision (not accuracy), relevant to clinical use.</t>
        </is>
      </c>
    </row>
    <row r="23" spans="1:19" ht="90" customHeight="1" x14ac:dyDescent="0.2">
      <c r="A23" s="9">
        <v>22</v>
      </c>
      <c r="B23" s="9">
        <v>2013</v>
      </c>
      <c r="C23" s="9" t="s">
        <v>174</v>
      </c>
      <c r="D23" s="9" t="s">
        <v>175</v>
      </c>
      <c r="E23" s="9" t="s">
        <v>176</v>
      </c>
      <c r="F23" s="10" t="s">
        <v>52</v>
      </c>
      <c r="G23" s="13" t="s">
        <v>177</v>
      </c>
      <c r="H23" s="11" t="s">
        <v>19</v>
      </c>
      <c r="I23" s="11" t="s">
        <v>24</v>
      </c>
      <c r="J23" s="11"/>
      <c r="K23" s="11"/>
      <c r="L23" s="11"/>
      <c r="M23" s="9" t="s">
        <v>178</v>
      </c>
      <c r="N23" s="12" t="s">
        <v>19</v>
      </c>
      <c r="O23" s="12" t="s">
        <v>24</v>
      </c>
      <c r="P23" s="12" t="s">
        <v>179</v>
      </c>
      <c r="Q23" s="12" t="inlineStr">
        <is>
          <t>Exclude</t>
        </is>
      </c>
      <c r="R23" s="12" t="inlineStr">
        <is>
          <t>No questionnaire/screening item</t>
        </is>
      </c>
      <c r="S23" s="12" t="inlineStr">
        <is>
          <t>Compares short visual acuity charts against clinic VA in older adults; performance tests only, no self-report instrument.</t>
        </is>
      </c>
    </row>
    <row r="24" spans="1:19" ht="90" customHeight="1" x14ac:dyDescent="0.2">
      <c r="A24" s="9">
        <v>23</v>
      </c>
      <c r="B24" s="9">
        <v>2024</v>
      </c>
      <c r="C24" s="9" t="s">
        <v>180</v>
      </c>
      <c r="D24" s="9" t="s">
        <v>181</v>
      </c>
      <c r="E24" s="9" t="s">
        <v>182</v>
      </c>
      <c r="F24" s="10" t="s">
        <v>52</v>
      </c>
      <c r="G24" s="9" t="s">
        <v>183</v>
      </c>
      <c r="H24" s="11" t="s">
        <v>19</v>
      </c>
      <c r="I24" s="11" t="s">
        <v>24</v>
      </c>
      <c r="J24" s="11"/>
      <c r="K24" s="11"/>
      <c r="L24" s="11"/>
      <c r="M24" s="9" t="s">
        <v>184</v>
      </c>
      <c r="N24" s="12" t="s">
        <v>17</v>
      </c>
      <c r="O24" s="12"/>
      <c r="P24" s="12" t="s">
        <v>185</v>
      </c>
      <c r="Q24" s="12" t="inlineStr">
        <is>
          <t>Include</t>
        </is>
      </c>
      <c r="R24" s="12"/>
      <c r="S24" s="12" t="inlineStr">
        <is>
          <t>NHATS older adults: self-reported visual difficulty evaluated against measured VA and contrast sensitivity with AUC, sensitivity and specificity.</t>
        </is>
      </c>
    </row>
    <row r="25" spans="1:19" ht="90" customHeight="1" x14ac:dyDescent="0.2">
      <c r="A25" s="9">
        <v>24</v>
      </c>
      <c r="B25" s="9">
        <v>2020</v>
      </c>
      <c r="C25" s="9" t="s">
        <v>186</v>
      </c>
      <c r="D25" s="9" t="s">
        <v>187</v>
      </c>
      <c r="E25" s="9" t="s">
        <v>123</v>
      </c>
      <c r="F25" s="10" t="s">
        <v>52</v>
      </c>
      <c r="G25" s="9" t="s">
        <v>188</v>
      </c>
      <c r="H25" s="11" t="s">
        <v>19</v>
      </c>
      <c r="I25" s="11" t="s">
        <v>24</v>
      </c>
      <c r="J25" s="11"/>
      <c r="K25" s="11"/>
      <c r="L25" s="11"/>
      <c r="M25" s="9" t="s">
        <v>189</v>
      </c>
      <c r="N25" s="12" t="s">
        <v>19</v>
      </c>
      <c r="O25" s="12" t="s">
        <v>55</v>
      </c>
      <c r="P25" s="12" t="s">
        <v>190</v>
      </c>
      <c r="Q25" s="12" t="inlineStr">
        <is>
          <t>Exclude</t>
        </is>
      </c>
      <c r="R25" s="12" t="inlineStr">
        <is>
          <t>Intervention study only</t>
        </is>
      </c>
      <c r="S25" s="12" t="inlineStr">
        <is>
          <t>RCT protocol on cost-effectiveness of basic vision rehabilitation; Activity Inventory used only as primary outcome.</t>
        </is>
      </c>
    </row>
    <row r="26" spans="1:19" ht="90" customHeight="1" x14ac:dyDescent="0.2">
      <c r="A26" s="9">
        <v>25</v>
      </c>
      <c r="B26" s="9">
        <v>2015</v>
      </c>
      <c r="C26" s="9" t="s">
        <v>191</v>
      </c>
      <c r="D26" s="9" t="s">
        <v>192</v>
      </c>
      <c r="E26" s="9" t="s">
        <v>193</v>
      </c>
      <c r="F26" s="10" t="s">
        <v>52</v>
      </c>
      <c r="G26" s="9" t="s">
        <v>194</v>
      </c>
      <c r="H26" s="11" t="s">
        <v>19</v>
      </c>
      <c r="I26" s="11" t="s">
        <v>95</v>
      </c>
      <c r="J26" s="11"/>
      <c r="K26" s="11"/>
      <c r="L26" s="11"/>
      <c r="M26" s="9" t="s">
        <v>195</v>
      </c>
      <c r="N26" s="12" t="s">
        <v>19</v>
      </c>
      <c r="O26" s="12" t="s">
        <v>95</v>
      </c>
      <c r="P26" s="12" t="s">
        <v>196</v>
      </c>
      <c r="Q26" s="12" t="inlineStr">
        <is>
          <t>Exclude</t>
        </is>
      </c>
      <c r="R26" s="12" t="inlineStr">
        <is>
          <t>Not about low vision/visual function</t>
        </is>
      </c>
      <c r="S26" s="12" t="inlineStr">
        <is>
          <t>PHQ-2 depression screening acceptability in LVR/eye-care clients; the screened construct is depression, not vision or LVR need.</t>
        </is>
      </c>
    </row>
    <row r="27" spans="1:19" ht="90" customHeight="1" x14ac:dyDescent="0.2">
      <c r="A27" s="9">
        <v>26</v>
      </c>
      <c r="B27" s="9">
        <v>2000</v>
      </c>
      <c r="C27" s="9" t="s">
        <v>197</v>
      </c>
      <c r="D27" s="9" t="s">
        <v>198</v>
      </c>
      <c r="E27" s="9" t="s">
        <v>99</v>
      </c>
      <c r="F27" s="10" t="s">
        <v>52</v>
      </c>
      <c r="G27" s="13" t="s">
        <v>199</v>
      </c>
      <c r="H27" s="11" t="s">
        <v>17</v>
      </c>
      <c r="I27" s="11"/>
      <c r="J27" s="11"/>
      <c r="K27" s="11"/>
      <c r="L27" s="11"/>
      <c r="M27" s="9" t="s">
        <v>200</v>
      </c>
      <c r="N27" s="12" t="s">
        <v>17</v>
      </c>
      <c r="O27" s="12"/>
      <c r="P27" s="12" t="s">
        <v>201</v>
      </c>
      <c r="Q27" s="12" t="inlineStr">
        <is>
          <t>Include</t>
        </is>
      </c>
      <c r="R27" s="12"/>
      <c r="S27" s="12" t="inlineStr">
        <is>
          <t>Development and psychometric validation (internal consistency, reliability, known-groups, responsiveness) of the LVQOL in low vision patients.</t>
        </is>
      </c>
    </row>
    <row r="28" spans="1:19" ht="90" customHeight="1" x14ac:dyDescent="0.2">
      <c r="A28" s="9">
        <v>27</v>
      </c>
      <c r="B28" s="9">
        <v>2018</v>
      </c>
      <c r="C28" s="9" t="s">
        <v>202</v>
      </c>
      <c r="D28" s="9" t="s">
        <v>203</v>
      </c>
      <c r="E28" s="9" t="s">
        <v>204</v>
      </c>
      <c r="F28" s="10" t="s">
        <v>52</v>
      </c>
      <c r="G28" s="9" t="s">
        <v>205</v>
      </c>
      <c r="H28" s="11" t="s">
        <v>76</v>
      </c>
      <c r="I28" s="11"/>
      <c r="J28" s="11"/>
      <c r="K28" s="11"/>
      <c r="L28" s="11"/>
      <c r="M28" s="9" t="s">
        <v>206</v>
      </c>
      <c r="N28" s="12" t="s">
        <v>17</v>
      </c>
      <c r="O28" s="12"/>
      <c r="P28" s="12" t="s">
        <v>207</v>
      </c>
      <c r="Q28" s="12" t="inlineStr">
        <is>
          <t>Include</t>
        </is>
      </c>
      <c r="R28" s="12"/>
      <c r="S28" s="12" t="inlineStr">
        <is>
          <t>Validates Visual Impairment as a Risk for Falls Questionnaire items (e.g. reading, faces) against oculo-visual exam, with sensitivity and specificity.</t>
        </is>
      </c>
    </row>
    <row r="29" spans="1:19" ht="90" customHeight="1" x14ac:dyDescent="0.2">
      <c r="A29" s="9">
        <v>28</v>
      </c>
      <c r="B29" s="9">
        <v>2026</v>
      </c>
      <c r="C29" s="9" t="s">
        <v>208</v>
      </c>
      <c r="D29" s="9" t="s">
        <v>209</v>
      </c>
      <c r="E29" s="9" t="s">
        <v>210</v>
      </c>
      <c r="F29" s="10" t="s">
        <v>52</v>
      </c>
      <c r="G29" s="9" t="s">
        <v>211</v>
      </c>
      <c r="H29" s="11" t="s">
        <v>19</v>
      </c>
      <c r="I29" s="11" t="s">
        <v>24</v>
      </c>
      <c r="J29" s="11"/>
      <c r="K29" s="11"/>
      <c r="L29" s="11"/>
      <c r="M29" s="9" t="s">
        <v>212</v>
      </c>
      <c r="N29" s="12" t="s">
        <v>19</v>
      </c>
      <c r="O29" s="12" t="s">
        <v>62</v>
      </c>
      <c r="P29" s="12" t="s">
        <v>213</v>
      </c>
      <c r="Q29" s="12" t="inlineStr">
        <is>
          <t>Exclude</t>
        </is>
      </c>
      <c r="R29" s="12" t="inlineStr">
        <is>
          <t>No accuracy/validation data</t>
        </is>
      </c>
      <c r="S29" s="12" t="inlineStr">
        <is>
          <t>CHARLS prediction model where self-reported VI is the outcome; the self-report item itself is not evaluated against measured vision.</t>
        </is>
      </c>
    </row>
    <row r="30" spans="1:19" ht="90" customHeight="1" x14ac:dyDescent="0.2">
      <c r="A30" s="9">
        <v>29</v>
      </c>
      <c r="B30" s="9">
        <v>2009</v>
      </c>
      <c r="C30" s="9" t="s">
        <v>214</v>
      </c>
      <c r="D30" s="9" t="s">
        <v>215</v>
      </c>
      <c r="E30" s="9" t="s">
        <v>216</v>
      </c>
      <c r="F30" s="10" t="s">
        <v>52</v>
      </c>
      <c r="G30" s="9" t="s">
        <v>217</v>
      </c>
      <c r="H30" s="11" t="s">
        <v>76</v>
      </c>
      <c r="I30" s="11"/>
      <c r="J30" s="11"/>
      <c r="K30" s="11"/>
      <c r="L30" s="11"/>
      <c r="M30" s="9" t="s">
        <v>218</v>
      </c>
      <c r="N30" s="12" t="s">
        <v>19</v>
      </c>
      <c r="O30" s="12" t="s">
        <v>24</v>
      </c>
      <c r="P30" s="12" t="s">
        <v>219</v>
      </c>
      <c r="Q30" s="12" t="inlineStr">
        <is>
          <t>Exclude</t>
        </is>
      </c>
      <c r="R30" s="12" t="inlineStr">
        <is>
          <t>No questionnaire/screening item</t>
        </is>
      </c>
      <c r="S30" s="12" t="inlineStr">
        <is>
          <t>Develops a battery of performance-based functional tests for low vision; NEI VFQ-25 is only an ancillary measure, not the instrument studied.</t>
        </is>
      </c>
    </row>
    <row r="31" spans="1:19" ht="90" customHeight="1" x14ac:dyDescent="0.2">
      <c r="A31" s="9">
        <v>30</v>
      </c>
      <c r="B31" s="9">
        <v>2025</v>
      </c>
      <c r="C31" s="9" t="s">
        <v>220</v>
      </c>
      <c r="D31" s="9" t="s">
        <v>221</v>
      </c>
      <c r="E31" s="9" t="s">
        <v>216</v>
      </c>
      <c r="F31" s="10" t="s">
        <v>52</v>
      </c>
      <c r="G31" s="9" t="s">
        <v>222</v>
      </c>
      <c r="H31" s="11" t="s">
        <v>76</v>
      </c>
      <c r="I31" s="11"/>
      <c r="J31" s="11"/>
      <c r="K31" s="11"/>
      <c r="L31" s="11"/>
      <c r="M31" s="9" t="s">
        <v>223</v>
      </c>
      <c r="N31" s="12" t="s">
        <v>17</v>
      </c>
      <c r="O31" s="12"/>
      <c r="P31" s="12" t="s">
        <v>224</v>
      </c>
      <c r="Q31" s="12" t="inlineStr">
        <is>
          <t>Include</t>
        </is>
      </c>
      <c r="R31" s="12"/>
      <c r="S31" s="12" t="inlineStr">
        <is>
          <t>Adult rehab inpatients: self-reported vision questions (newspaper reading, faces, happiness with vision) tested against VA/CS/VF, sensitivity reported.</t>
        </is>
      </c>
    </row>
    <row r="32" spans="1:19" ht="90" customHeight="1" x14ac:dyDescent="0.2">
      <c r="A32" s="9">
        <v>31</v>
      </c>
      <c r="B32" s="9">
        <v>2004</v>
      </c>
      <c r="C32" s="9" t="s">
        <v>225</v>
      </c>
      <c r="D32" s="9" t="s">
        <v>226</v>
      </c>
      <c r="E32" s="9" t="s">
        <v>227</v>
      </c>
      <c r="F32" s="10" t="s">
        <v>52</v>
      </c>
      <c r="G32" s="9" t="s">
        <v>228</v>
      </c>
      <c r="H32" s="11" t="s">
        <v>76</v>
      </c>
      <c r="I32" s="11"/>
      <c r="J32" s="11"/>
      <c r="K32" s="11"/>
      <c r="L32" s="11"/>
      <c r="M32" s="9" t="s">
        <v>229</v>
      </c>
      <c r="N32" s="12" t="s">
        <v>19</v>
      </c>
      <c r="O32" s="12" t="s">
        <v>62</v>
      </c>
      <c r="P32" s="12" t="s">
        <v>230</v>
      </c>
      <c r="Q32" s="12" t="inlineStr">
        <is>
          <t>Exclude</t>
        </is>
      </c>
      <c r="R32" s="12" t="inlineStr">
        <is>
          <t>No accuracy/validation data</t>
        </is>
      </c>
      <c r="S32" s="12" t="inlineStr">
        <is>
          <t>Cohort study using self-reported vision questions and contrast sensitivity as risk factors for falls/fractures; questions not evaluated as instruments.</t>
        </is>
      </c>
    </row>
    <row r="33" spans="1:19" ht="90" customHeight="1" x14ac:dyDescent="0.2">
      <c r="A33" s="9">
        <v>32</v>
      </c>
      <c r="B33" s="9">
        <v>2024</v>
      </c>
      <c r="C33" s="9" t="s">
        <v>231</v>
      </c>
      <c r="D33" s="9" t="s">
        <v>232</v>
      </c>
      <c r="E33" s="9" t="s">
        <v>233</v>
      </c>
      <c r="F33" s="10" t="s">
        <v>52</v>
      </c>
      <c r="G33" s="9" t="s">
        <v>234</v>
      </c>
      <c r="H33" s="11" t="s">
        <v>19</v>
      </c>
      <c r="I33" s="11" t="s">
        <v>47</v>
      </c>
      <c r="J33" s="11"/>
      <c r="K33" s="11"/>
      <c r="L33" s="11"/>
      <c r="M33" s="9" t="s">
        <v>235</v>
      </c>
      <c r="N33" s="12" t="s">
        <v>19</v>
      </c>
      <c r="O33" s="12" t="s">
        <v>47</v>
      </c>
      <c r="P33" s="12" t="s">
        <v>236</v>
      </c>
      <c r="Q33" s="12" t="inlineStr">
        <is>
          <t>Exclude</t>
        </is>
      </c>
      <c r="R33" s="12" t="inlineStr">
        <is>
          <t>Wrong population (not adults)</t>
        </is>
      </c>
      <c r="S33" s="12" t="inlineStr">
        <is>
          <t>Illumination and visual comfort study in schoolchildren with low vision.</t>
        </is>
      </c>
    </row>
    <row r="34" spans="1:19" ht="90" customHeight="1" x14ac:dyDescent="0.2">
      <c r="A34" s="9">
        <v>33</v>
      </c>
      <c r="B34" s="9">
        <v>2014</v>
      </c>
      <c r="C34" s="9" t="s">
        <v>237</v>
      </c>
      <c r="D34" s="9" t="s">
        <v>238</v>
      </c>
      <c r="E34" s="9" t="s">
        <v>182</v>
      </c>
      <c r="F34" s="10" t="s">
        <v>52</v>
      </c>
      <c r="G34" s="9" t="s">
        <v>239</v>
      </c>
      <c r="H34" s="11" t="s">
        <v>19</v>
      </c>
      <c r="I34" s="11" t="s">
        <v>95</v>
      </c>
      <c r="J34" s="11"/>
      <c r="K34" s="11"/>
      <c r="L34" s="11"/>
      <c r="M34" s="9" t="s">
        <v>240</v>
      </c>
      <c r="N34" s="12" t="s">
        <v>19</v>
      </c>
      <c r="O34" s="12" t="s">
        <v>62</v>
      </c>
      <c r="P34" s="12" t="s">
        <v>241</v>
      </c>
      <c r="Q34" s="12" t="inlineStr">
        <is>
          <t>Exclude</t>
        </is>
      </c>
      <c r="R34" s="12" t="inlineStr">
        <is>
          <t>Not about low vision/visual function</t>
        </is>
      </c>
      <c r="S34" s="12" t="inlineStr">
        <is>
          <t>Self-reported driving habits in AMD vs controls; the self-report concerns driving behaviour, not a vision questionnaire being evaluated.</t>
        </is>
      </c>
    </row>
    <row r="35" spans="1:19" ht="90" customHeight="1" x14ac:dyDescent="0.2">
      <c r="A35" s="9">
        <v>34</v>
      </c>
      <c r="B35" s="9">
        <v>2018</v>
      </c>
      <c r="C35" s="9" t="s">
        <v>242</v>
      </c>
      <c r="D35" s="9" t="s">
        <v>243</v>
      </c>
      <c r="E35" s="9" t="s">
        <v>244</v>
      </c>
      <c r="F35" s="10" t="s">
        <v>52</v>
      </c>
      <c r="G35" s="13" t="s">
        <v>245</v>
      </c>
      <c r="H35" s="11" t="s">
        <v>76</v>
      </c>
      <c r="I35" s="11"/>
      <c r="J35" s="11"/>
      <c r="K35" s="11"/>
      <c r="L35" s="11"/>
      <c r="M35" s="9" t="s">
        <v>246</v>
      </c>
      <c r="N35" s="12" t="s">
        <v>19</v>
      </c>
      <c r="O35" s="12" t="s">
        <v>55</v>
      </c>
      <c r="P35" s="12" t="s">
        <v>247</v>
      </c>
      <c r="Q35" s="12" t="inlineStr">
        <is>
          <t>Exclude</t>
        </is>
      </c>
      <c r="R35" s="12" t="inlineStr">
        <is>
          <t>Intervention study only</t>
        </is>
      </c>
      <c r="S35" s="12" t="inlineStr">
        <is>
          <t>Economic evaluation of LV rehabilitation vs basic LV services (LOVIT II); VA LV VFQ used only as outcome.</t>
        </is>
      </c>
    </row>
    <row r="36" spans="1:19" ht="90" customHeight="1" x14ac:dyDescent="0.2">
      <c r="A36" s="9">
        <v>35</v>
      </c>
      <c r="B36" s="9">
        <v>2021</v>
      </c>
      <c r="C36" s="9" t="s">
        <v>248</v>
      </c>
      <c r="D36" s="9" t="s">
        <v>249</v>
      </c>
      <c r="E36" s="9" t="s">
        <v>250</v>
      </c>
      <c r="F36" s="10" t="s">
        <v>52</v>
      </c>
      <c r="G36" s="9" t="s">
        <v>251</v>
      </c>
      <c r="H36" s="11" t="s">
        <v>19</v>
      </c>
      <c r="I36" s="11" t="s">
        <v>95</v>
      </c>
      <c r="J36" s="11"/>
      <c r="K36" s="11"/>
      <c r="L36" s="11"/>
      <c r="M36" s="9" t="s">
        <v>252</v>
      </c>
      <c r="N36" s="12" t="s">
        <v>19</v>
      </c>
      <c r="O36" s="12" t="s">
        <v>95</v>
      </c>
      <c r="P36" s="12" t="s">
        <v>253</v>
      </c>
      <c r="Q36" s="12" t="inlineStr">
        <is>
          <t>Exclude</t>
        </is>
      </c>
      <c r="R36" s="12" t="inlineStr">
        <is>
          <t>No accuracy/validation data</t>
        </is>
      </c>
      <c r="S36" s="12" t="inlineStr">
        <is>
          <t>Uveitis study using self-reported visual function as a predictor of anxiety/depression; vision instrument not evaluated.</t>
        </is>
      </c>
    </row>
    <row r="37" spans="1:19" ht="90" customHeight="1" x14ac:dyDescent="0.2">
      <c r="A37" s="9">
        <v>36</v>
      </c>
      <c r="B37" s="9">
        <v>2022</v>
      </c>
      <c r="C37" s="9" t="s">
        <v>254</v>
      </c>
      <c r="D37" s="9" t="s">
        <v>255</v>
      </c>
      <c r="E37" s="9" t="s">
        <v>256</v>
      </c>
      <c r="F37" s="10" t="s">
        <v>52</v>
      </c>
      <c r="G37" s="9" t="s">
        <v>257</v>
      </c>
      <c r="H37" s="11" t="s">
        <v>76</v>
      </c>
      <c r="I37" s="11"/>
      <c r="J37" s="11"/>
      <c r="K37" s="11"/>
      <c r="L37" s="11"/>
      <c r="M37" s="9" t="s">
        <v>258</v>
      </c>
      <c r="N37" s="12" t="s">
        <v>19</v>
      </c>
      <c r="O37" s="12" t="s">
        <v>55</v>
      </c>
      <c r="P37" s="12" t="s">
        <v>259</v>
      </c>
      <c r="Q37" s="12" t="inlineStr">
        <is>
          <t>Exclude</t>
        </is>
      </c>
      <c r="R37" s="12" t="inlineStr">
        <is>
          <t>Intervention study only</t>
        </is>
      </c>
      <c r="S37" s="12" t="inlineStr">
        <is>
          <t>Microperimeter biofeedback fixation training in maculopathy; NEI-VFQ-25 only a pre/post outcome.</t>
        </is>
      </c>
    </row>
    <row r="38" spans="1:19" ht="90" customHeight="1" x14ac:dyDescent="0.2">
      <c r="A38" s="9">
        <v>37</v>
      </c>
      <c r="B38" s="9">
        <v>2026</v>
      </c>
      <c r="C38" s="9" t="s">
        <v>260</v>
      </c>
      <c r="D38" s="9" t="s">
        <v>261</v>
      </c>
      <c r="E38" s="9" t="s">
        <v>262</v>
      </c>
      <c r="F38" s="10" t="s">
        <v>52</v>
      </c>
      <c r="G38" s="13" t="s">
        <v>263</v>
      </c>
      <c r="H38" s="11" t="s">
        <v>17</v>
      </c>
      <c r="I38" s="11"/>
      <c r="J38" s="11"/>
      <c r="K38" s="11"/>
      <c r="L38" s="11"/>
      <c r="M38" s="9" t="s">
        <v>264</v>
      </c>
      <c r="N38" s="12" t="s">
        <v>76</v>
      </c>
      <c r="O38" s="12"/>
      <c r="P38" s="12" t="s">
        <v>265</v>
      </c>
      <c r="Q38" s="12" t="inlineStr">
        <is>
          <t>Exclude</t>
        </is>
      </c>
      <c r="R38" s="12" t="inlineStr">
        <is>
          <t>No accuracy/validation data</t>
        </is>
      </c>
      <c r="S38" s="12" t="inlineStr">
        <is>
          <t>Meta-analysis of Dutch VI prevalence using self-report, VA and GP codes; self-report definitions not evaluated for accuracy.</t>
        </is>
      </c>
    </row>
    <row r="39" spans="1:19" ht="90" customHeight="1" x14ac:dyDescent="0.2">
      <c r="A39" s="9">
        <v>38</v>
      </c>
      <c r="B39" s="9">
        <v>2025</v>
      </c>
      <c r="C39" s="9" t="s">
        <v>266</v>
      </c>
      <c r="D39" s="9" t="s">
        <v>267</v>
      </c>
      <c r="E39" s="9" t="s">
        <v>268</v>
      </c>
      <c r="F39" s="10" t="s">
        <v>52</v>
      </c>
      <c r="G39" s="9" t="s">
        <v>269</v>
      </c>
      <c r="H39" s="11" t="s">
        <v>17</v>
      </c>
      <c r="I39" s="11"/>
      <c r="J39" s="11"/>
      <c r="K39" s="11"/>
      <c r="L39" s="11"/>
      <c r="M39" s="9" t="s">
        <v>270</v>
      </c>
      <c r="N39" s="12" t="s">
        <v>76</v>
      </c>
      <c r="O39" s="12"/>
      <c r="P39" s="12" t="s">
        <v>271</v>
      </c>
      <c r="Q39" s="12" t="inlineStr">
        <is>
          <t>Include</t>
        </is>
      </c>
      <c r="R39" s="12"/>
      <c r="S39" s="12" t="inlineStr">
        <is>
          <t>ESO clinical practice guideline on screening and managing post-stroke visual impairment in adults, including accuracy of vision screening tools; counts as a guideline.</t>
        </is>
      </c>
    </row>
    <row r="40" spans="1:19" ht="90" customHeight="1" x14ac:dyDescent="0.2">
      <c r="A40" s="9">
        <v>39</v>
      </c>
      <c r="B40" s="9">
        <v>2005</v>
      </c>
      <c r="C40" s="9" t="s">
        <v>272</v>
      </c>
      <c r="D40" s="9" t="s">
        <v>273</v>
      </c>
      <c r="E40" s="9" t="s">
        <v>274</v>
      </c>
      <c r="F40" s="10" t="s">
        <v>52</v>
      </c>
      <c r="G40" s="9" t="s">
        <v>275</v>
      </c>
      <c r="H40" s="11" t="s">
        <v>76</v>
      </c>
      <c r="I40" s="11"/>
      <c r="J40" s="11"/>
      <c r="K40" s="11"/>
      <c r="L40" s="11"/>
      <c r="M40" s="9" t="s">
        <v>276</v>
      </c>
      <c r="N40" s="12" t="s">
        <v>76</v>
      </c>
      <c r="O40" s="12"/>
      <c r="P40" s="12" t="s">
        <v>277</v>
      </c>
      <c r="Q40" s="12" t="inlineStr">
        <is>
          <t>Include</t>
        </is>
      </c>
      <c r="R40" s="12"/>
      <c r="S40" s="12" t="inlineStr">
        <is>
          <t>Rasch psychometric evaluation of the VA-13 self-report blind rehabilitation outcome measure (and clinician FAST) in legally blind veterans.</t>
        </is>
      </c>
    </row>
    <row r="41" spans="1:19" ht="90" customHeight="1" x14ac:dyDescent="0.2">
      <c r="A41" s="9">
        <v>40</v>
      </c>
      <c r="B41" s="9">
        <v>2026</v>
      </c>
      <c r="C41" s="9" t="s">
        <v>278</v>
      </c>
      <c r="D41" s="9" t="s">
        <v>279</v>
      </c>
      <c r="E41" s="9" t="s">
        <v>280</v>
      </c>
      <c r="F41" s="10" t="s">
        <v>52</v>
      </c>
      <c r="G41" s="9" t="s">
        <v>281</v>
      </c>
      <c r="H41" s="11" t="s">
        <v>19</v>
      </c>
      <c r="I41" s="11" t="s">
        <v>24</v>
      </c>
      <c r="J41" s="11"/>
      <c r="K41" s="11"/>
      <c r="L41" s="11"/>
      <c r="M41" s="9" t="s">
        <v>282</v>
      </c>
      <c r="N41" s="12" t="s">
        <v>19</v>
      </c>
      <c r="O41" s="12" t="s">
        <v>24</v>
      </c>
      <c r="P41" s="12" t="s">
        <v>283</v>
      </c>
      <c r="Q41" s="12" t="inlineStr">
        <is>
          <t>Exclude</t>
        </is>
      </c>
      <c r="R41" s="12" t="inlineStr">
        <is>
          <t>No questionnaire/screening item</t>
        </is>
      </c>
      <c r="S41" s="12" t="inlineStr">
        <is>
          <t>RCT protocol for AI retinal-imaging VI screening; the only questionnaire is patient acceptance of the screening, not a vision self-report.</t>
        </is>
      </c>
    </row>
    <row r="42" spans="1:19" ht="90" customHeight="1" x14ac:dyDescent="0.2">
      <c r="A42" s="9">
        <v>41</v>
      </c>
      <c r="B42" s="9">
        <v>2023</v>
      </c>
      <c r="C42" s="9" t="s">
        <v>284</v>
      </c>
      <c r="D42" s="9" t="s">
        <v>285</v>
      </c>
      <c r="E42" s="9" t="s">
        <v>286</v>
      </c>
      <c r="F42" s="10" t="s">
        <v>52</v>
      </c>
      <c r="G42" s="13" t="s">
        <v>287</v>
      </c>
      <c r="H42" s="11"/>
      <c r="I42" s="11"/>
      <c r="J42" s="11"/>
      <c r="K42" s="11"/>
      <c r="L42" s="11"/>
      <c r="M42" s="9" t="s">
        <v>288</v>
      </c>
      <c r="N42" s="12" t="s">
        <v>76</v>
      </c>
      <c r="O42" s="12"/>
      <c r="P42" s="12" t="s">
        <v>289</v>
      </c>
      <c r="Q42" s="12" t="inlineStr">
        <is>
          <t>Include</t>
        </is>
      </c>
      <c r="R42" s="12"/>
      <c r="S42" s="12" t="inlineStr">
        <is>
          <t>Evidence-based clinical practice guideline for low vision diagnosis/rehabilitation incl. adults; recommends NEI VFQ-25 for follow-up.</t>
        </is>
      </c>
    </row>
    <row r="43" spans="1:19" ht="90" customHeight="1" x14ac:dyDescent="0.2">
      <c r="A43" s="9">
        <v>42</v>
      </c>
      <c r="B43" s="9">
        <v>2022</v>
      </c>
      <c r="C43" s="9" t="s">
        <v>290</v>
      </c>
      <c r="D43" s="9" t="s">
        <v>291</v>
      </c>
      <c r="E43" s="9" t="s">
        <v>292</v>
      </c>
      <c r="F43" s="10" t="s">
        <v>52</v>
      </c>
      <c r="G43" s="13" t="s">
        <v>293</v>
      </c>
      <c r="H43" s="11"/>
      <c r="I43" s="11"/>
      <c r="J43" s="11"/>
      <c r="K43" s="11"/>
      <c r="L43" s="11"/>
      <c r="M43" s="9" t="s">
        <v>294</v>
      </c>
      <c r="N43" s="12" t="s">
        <v>19</v>
      </c>
      <c r="O43" s="12" t="s">
        <v>95</v>
      </c>
      <c r="P43" s="12" t="s">
        <v>295</v>
      </c>
      <c r="Q43" s="12" t="inlineStr">
        <is>
          <t>Exclude</t>
        </is>
      </c>
      <c r="R43" s="12" t="inlineStr">
        <is>
          <t>No questionnaire/screening item</t>
        </is>
      </c>
      <c r="S43" s="12" t="inlineStr">
        <is>
          <t>Braille reading speed correlates in blind adults; no vision self-report tool evaluated.</t>
        </is>
      </c>
    </row>
    <row r="44" spans="1:19" ht="90" customHeight="1" x14ac:dyDescent="0.2">
      <c r="A44" s="9">
        <v>43</v>
      </c>
      <c r="B44" s="9">
        <v>2025</v>
      </c>
      <c r="C44" s="9" t="s">
        <v>296</v>
      </c>
      <c r="D44" s="9" t="s">
        <v>297</v>
      </c>
      <c r="E44" s="9" t="s">
        <v>298</v>
      </c>
      <c r="F44" s="10" t="s">
        <v>52</v>
      </c>
      <c r="G44" s="13" t="s">
        <v>299</v>
      </c>
      <c r="H44" s="11"/>
      <c r="I44" s="11"/>
      <c r="J44" s="11"/>
      <c r="K44" s="11"/>
      <c r="L44" s="11"/>
      <c r="M44" s="9" t="s">
        <v>300</v>
      </c>
      <c r="N44" s="12" t="s">
        <v>19</v>
      </c>
      <c r="O44" s="12" t="s">
        <v>62</v>
      </c>
      <c r="P44" s="12" t="s">
        <v>301</v>
      </c>
      <c r="Q44" s="12" t="inlineStr">
        <is>
          <t>Maybe</t>
        </is>
      </c>
      <c r="R44" s="12"/>
      <c r="S44" s="12" t="inlineStr">
        <is>
          <t>LVR clinic adults; NEI VFQ-25 related to VA, reading acuity and contrast sensitivity, though main aim is depression screening.</t>
        </is>
      </c>
    </row>
    <row r="45" spans="1:19" ht="90" customHeight="1" x14ac:dyDescent="0.2">
      <c r="A45" s="9">
        <v>44</v>
      </c>
      <c r="B45" s="9">
        <v>2017</v>
      </c>
      <c r="C45" s="9" t="s">
        <v>302</v>
      </c>
      <c r="D45" s="9" t="s">
        <v>303</v>
      </c>
      <c r="E45" s="9" t="s">
        <v>304</v>
      </c>
      <c r="F45" s="10" t="s">
        <v>52</v>
      </c>
      <c r="G45" s="9" t="s">
        <v>305</v>
      </c>
      <c r="H45" s="11"/>
      <c r="I45" s="11"/>
      <c r="J45" s="11"/>
      <c r="K45" s="11"/>
      <c r="L45" s="11"/>
      <c r="M45" s="9" t="s">
        <v>306</v>
      </c>
      <c r="N45" s="12" t="s">
        <v>19</v>
      </c>
      <c r="O45" s="12" t="s">
        <v>95</v>
      </c>
      <c r="P45" s="12" t="s">
        <v>307</v>
      </c>
      <c r="Q45" s="12" t="inlineStr">
        <is>
          <t>Exclude</t>
        </is>
      </c>
      <c r="R45" s="12" t="inlineStr">
        <is>
          <t>No questionnaire/screening item</t>
        </is>
      </c>
      <c r="S45" s="12" t="inlineStr">
        <is>
          <t>Seasonal affective disorder questionnaire by eye diagnosis; no vision self-report tool evaluated.</t>
        </is>
      </c>
    </row>
    <row r="46" spans="1:19" ht="90" customHeight="1" x14ac:dyDescent="0.2">
      <c r="A46" s="9">
        <v>45</v>
      </c>
      <c r="B46" s="9">
        <v>2025</v>
      </c>
      <c r="C46" s="9" t="s">
        <v>308</v>
      </c>
      <c r="D46" s="9" t="s">
        <v>309</v>
      </c>
      <c r="E46" s="9" t="s">
        <v>310</v>
      </c>
      <c r="F46" s="10" t="s">
        <v>52</v>
      </c>
      <c r="G46" s="13" t="s">
        <v>311</v>
      </c>
      <c r="H46" s="11"/>
      <c r="I46" s="11"/>
      <c r="J46" s="11"/>
      <c r="K46" s="11"/>
      <c r="L46" s="11"/>
      <c r="M46" s="9" t="s">
        <v>312</v>
      </c>
      <c r="N46" s="12" t="s">
        <v>19</v>
      </c>
      <c r="O46" s="12" t="s">
        <v>24</v>
      </c>
      <c r="P46" s="12" t="s">
        <v>313</v>
      </c>
      <c r="Q46" s="12" t="inlineStr">
        <is>
          <t>Exclude</t>
        </is>
      </c>
      <c r="R46" s="12" t="inlineStr">
        <is>
          <t>No questionnaire/screening item</t>
        </is>
      </c>
      <c r="S46" s="12" t="inlineStr">
        <is>
          <t>Facial landmark analysis during a mobile VA test; not a self-report measure.</t>
        </is>
      </c>
    </row>
    <row r="47" spans="1:19" ht="90" customHeight="1" x14ac:dyDescent="0.2">
      <c r="A47" s="9">
        <v>46</v>
      </c>
      <c r="B47" s="9">
        <v>2011</v>
      </c>
      <c r="C47" s="9" t="s">
        <v>57</v>
      </c>
      <c r="D47" s="9" t="s">
        <v>314</v>
      </c>
      <c r="E47" s="9" t="s">
        <v>59</v>
      </c>
      <c r="F47" s="10" t="s">
        <v>52</v>
      </c>
      <c r="G47" s="9" t="s">
        <v>315</v>
      </c>
      <c r="H47" s="11"/>
      <c r="I47" s="11"/>
      <c r="J47" s="11"/>
      <c r="K47" s="11"/>
      <c r="L47" s="11"/>
      <c r="M47" s="9" t="s">
        <v>316</v>
      </c>
      <c r="N47" s="12" t="s">
        <v>17</v>
      </c>
      <c r="O47" s="12"/>
      <c r="P47" s="12" t="s">
        <v>317</v>
      </c>
      <c r="Q47" s="12" t="inlineStr">
        <is>
          <t>Include</t>
        </is>
      </c>
      <c r="R47" s="12"/>
      <c r="S47" s="12" t="inlineStr">
        <is>
          <t>Activity Inventory self-reported activity limitation related to VA, VF, contrast and psychosocial factors in VI adults.</t>
        </is>
      </c>
    </row>
    <row r="48" spans="1:19" ht="90" customHeight="1" x14ac:dyDescent="0.2">
      <c r="A48" s="9">
        <v>47</v>
      </c>
      <c r="B48" s="9">
        <v>2017</v>
      </c>
      <c r="C48" s="9" t="s">
        <v>318</v>
      </c>
      <c r="D48" s="9" t="s">
        <v>319</v>
      </c>
      <c r="E48" s="9" t="s">
        <v>123</v>
      </c>
      <c r="F48" s="10" t="s">
        <v>52</v>
      </c>
      <c r="G48" s="9" t="s">
        <v>320</v>
      </c>
      <c r="H48" s="11"/>
      <c r="I48" s="11"/>
      <c r="J48" s="11"/>
      <c r="K48" s="11"/>
      <c r="L48" s="11"/>
      <c r="M48" s="9" t="s">
        <v>321</v>
      </c>
      <c r="N48" s="12" t="s">
        <v>17</v>
      </c>
      <c r="O48" s="12"/>
      <c r="P48" s="12" t="s">
        <v>322</v>
      </c>
      <c r="Q48" s="12" t="inlineStr">
        <is>
          <t>Include</t>
        </is>
      </c>
      <c r="R48" s="12"/>
      <c r="S48" s="12" t="inlineStr">
        <is>
          <t>Dutch ICF Activity Inventory self-reported function related to binocular visual field areas in field-loss patients.</t>
        </is>
      </c>
    </row>
    <row r="49" spans="1:19" ht="90" customHeight="1" x14ac:dyDescent="0.2">
      <c r="A49" s="9">
        <v>48</v>
      </c>
      <c r="B49" s="9">
        <v>2011</v>
      </c>
      <c r="C49" s="9" t="s">
        <v>323</v>
      </c>
      <c r="D49" s="9" t="s">
        <v>324</v>
      </c>
      <c r="E49" s="9"/>
      <c r="F49" s="9" t="s">
        <v>129</v>
      </c>
      <c r="G49" s="9" t="s">
        <v>325</v>
      </c>
      <c r="H49" s="11"/>
      <c r="I49" s="11"/>
      <c r="J49" s="11"/>
      <c r="K49" s="11"/>
      <c r="L49" s="11"/>
      <c r="M49" s="9" t="s">
        <v>326</v>
      </c>
      <c r="N49" s="12" t="s">
        <v>19</v>
      </c>
      <c r="O49" s="12" t="s">
        <v>55</v>
      </c>
      <c r="P49" s="12" t="s">
        <v>327</v>
      </c>
      <c r="Q49" s="12" t="inlineStr">
        <is>
          <t>Exclude</t>
        </is>
      </c>
      <c r="R49" s="12" t="inlineStr">
        <is>
          <t>Intervention study only</t>
        </is>
      </c>
      <c r="S49" s="12" t="inlineStr">
        <is>
          <t>Development of a head-mounted low vision aid; no questionnaire validation.</t>
        </is>
      </c>
    </row>
    <row r="50" spans="1:19" ht="90" customHeight="1" x14ac:dyDescent="0.2">
      <c r="A50" s="9">
        <v>49</v>
      </c>
      <c r="B50" s="9">
        <v>2008</v>
      </c>
      <c r="C50" s="9" t="s">
        <v>328</v>
      </c>
      <c r="D50" s="9" t="s">
        <v>329</v>
      </c>
      <c r="E50" s="9" t="s">
        <v>330</v>
      </c>
      <c r="F50" s="10" t="s">
        <v>52</v>
      </c>
      <c r="G50" s="9" t="s">
        <v>331</v>
      </c>
      <c r="H50" s="11"/>
      <c r="I50" s="11"/>
      <c r="J50" s="11"/>
      <c r="K50" s="11"/>
      <c r="L50" s="11"/>
      <c r="M50" s="9" t="s">
        <v>332</v>
      </c>
      <c r="N50" s="12" t="s">
        <v>19</v>
      </c>
      <c r="O50" s="12" t="s">
        <v>55</v>
      </c>
      <c r="P50" s="12" t="s">
        <v>333</v>
      </c>
      <c r="Q50" s="12" t="inlineStr">
        <is>
          <t>Exclude</t>
        </is>
      </c>
      <c r="R50" s="12" t="inlineStr">
        <is>
          <t>Intervention study only</t>
        </is>
      </c>
      <c r="S50" s="12" t="inlineStr">
        <is>
          <t>Pre/post blind rehabilitation outcomes with NEI VFQ; no questionnaire validation or screening data.</t>
        </is>
      </c>
    </row>
    <row r="51" spans="1:19" ht="90" customHeight="1" x14ac:dyDescent="0.2">
      <c r="A51" s="9">
        <v>50</v>
      </c>
      <c r="B51" s="9">
        <v>2021</v>
      </c>
      <c r="C51" s="9" t="s">
        <v>334</v>
      </c>
      <c r="D51" s="9" t="s">
        <v>335</v>
      </c>
      <c r="E51" s="9" t="s">
        <v>336</v>
      </c>
      <c r="F51" s="10" t="s">
        <v>52</v>
      </c>
      <c r="G51" s="13" t="s">
        <v>337</v>
      </c>
      <c r="H51" s="11"/>
      <c r="I51" s="11"/>
      <c r="J51" s="11"/>
      <c r="K51" s="11"/>
      <c r="L51" s="11"/>
      <c r="M51" s="9" t="s">
        <v>338</v>
      </c>
      <c r="N51" s="12" t="s">
        <v>19</v>
      </c>
      <c r="O51" s="12" t="s">
        <v>24</v>
      </c>
      <c r="P51" s="12" t="s">
        <v>339</v>
      </c>
      <c r="Q51" s="12" t="inlineStr">
        <is>
          <t>Exclude</t>
        </is>
      </c>
      <c r="R51" s="12" t="inlineStr">
        <is>
          <t>No questionnaire/screening item</t>
        </is>
      </c>
      <c r="S51" s="12" t="inlineStr">
        <is>
          <t>Clinical/microperimetric predictors of reading speed in AMD; no self-report tool.</t>
        </is>
      </c>
    </row>
    <row r="52" spans="1:19" ht="90" customHeight="1" x14ac:dyDescent="0.2">
      <c r="A52" s="9">
        <v>51</v>
      </c>
      <c r="B52" s="9">
        <v>2005</v>
      </c>
      <c r="C52" s="9" t="s">
        <v>340</v>
      </c>
      <c r="D52" s="9" t="s">
        <v>341</v>
      </c>
      <c r="E52" s="9" t="s">
        <v>342</v>
      </c>
      <c r="F52" s="10" t="s">
        <v>52</v>
      </c>
      <c r="G52" s="13" t="s">
        <v>343</v>
      </c>
      <c r="H52" s="11"/>
      <c r="I52" s="11"/>
      <c r="J52" s="11"/>
      <c r="K52" s="11"/>
      <c r="L52" s="11"/>
      <c r="M52" s="9" t="s">
        <v>344</v>
      </c>
      <c r="N52" s="12" t="s">
        <v>19</v>
      </c>
      <c r="O52" s="12" t="s">
        <v>62</v>
      </c>
      <c r="P52" s="12" t="s">
        <v>345</v>
      </c>
      <c r="Q52" s="12" t="inlineStr">
        <is>
          <t>Maybe</t>
        </is>
      </c>
      <c r="R52" s="12"/>
      <c r="S52" s="12" t="inlineStr">
        <is>
          <t>Conjoint-analysis tool for LVR priorities in AMD compared with VA, CS and NEI VFQ-25; congress paper, check data.</t>
        </is>
      </c>
    </row>
    <row r="53" spans="1:19" ht="90" customHeight="1" x14ac:dyDescent="0.2">
      <c r="A53" s="9">
        <v>52</v>
      </c>
      <c r="B53" s="9">
        <v>2022</v>
      </c>
      <c r="C53" s="9" t="s">
        <v>346</v>
      </c>
      <c r="D53" s="9" t="s">
        <v>347</v>
      </c>
      <c r="E53" s="9" t="s">
        <v>348</v>
      </c>
      <c r="F53" s="10" t="s">
        <v>52</v>
      </c>
      <c r="G53" s="9" t="s">
        <v>349</v>
      </c>
      <c r="H53" s="11"/>
      <c r="I53" s="11"/>
      <c r="J53" s="11"/>
      <c r="K53" s="11"/>
      <c r="L53" s="11"/>
      <c r="M53" s="9" t="s">
        <v>350</v>
      </c>
      <c r="N53" s="12" t="s">
        <v>19</v>
      </c>
      <c r="O53" s="12" t="s">
        <v>95</v>
      </c>
      <c r="P53" s="12" t="s">
        <v>351</v>
      </c>
      <c r="Q53" s="12" t="inlineStr">
        <is>
          <t>Maybe</t>
        </is>
      </c>
      <c r="R53" s="12"/>
      <c r="S53" s="12" t="inlineStr">
        <is>
          <t>NEI VFQ-25 related to visual function tests in Parkinson's disease; adult self-report vs vision but non-LVR population.</t>
        </is>
      </c>
    </row>
    <row r="54" spans="1:19" ht="90" customHeight="1" x14ac:dyDescent="0.2">
      <c r="A54" s="9">
        <v>53</v>
      </c>
      <c r="B54" s="9">
        <v>2022</v>
      </c>
      <c r="C54" s="9" t="s">
        <v>352</v>
      </c>
      <c r="D54" s="9" t="s">
        <v>353</v>
      </c>
      <c r="E54" s="9" t="s">
        <v>354</v>
      </c>
      <c r="F54" s="10" t="s">
        <v>52</v>
      </c>
      <c r="G54" s="9" t="s">
        <v>355</v>
      </c>
      <c r="H54" s="11"/>
      <c r="I54" s="11"/>
      <c r="J54" s="11"/>
      <c r="K54" s="11"/>
      <c r="L54" s="11"/>
      <c r="M54" s="9" t="s">
        <v>356</v>
      </c>
      <c r="N54" s="12" t="s">
        <v>19</v>
      </c>
      <c r="O54" s="12" t="s">
        <v>47</v>
      </c>
      <c r="P54" s="12" t="s">
        <v>357</v>
      </c>
      <c r="Q54" s="12" t="inlineStr">
        <is>
          <t>Exclude</t>
        </is>
      </c>
      <c r="R54" s="12" t="inlineStr">
        <is>
          <t>Wrong population (not adults)</t>
        </is>
      </c>
      <c r="S54" s="12" t="inlineStr">
        <is>
          <t>Students with special educational needs (mean age 14); no self-report tool.</t>
        </is>
      </c>
    </row>
    <row r="55" spans="1:19" ht="90" customHeight="1" x14ac:dyDescent="0.2">
      <c r="A55" s="9">
        <v>54</v>
      </c>
      <c r="B55" s="9">
        <v>2023</v>
      </c>
      <c r="C55" s="9" t="s">
        <v>358</v>
      </c>
      <c r="D55" s="9" t="s">
        <v>359</v>
      </c>
      <c r="E55" s="9" t="s">
        <v>354</v>
      </c>
      <c r="F55" s="10" t="s">
        <v>52</v>
      </c>
      <c r="G55" s="9" t="s">
        <v>360</v>
      </c>
      <c r="H55" s="11"/>
      <c r="I55" s="11"/>
      <c r="J55" s="11"/>
      <c r="K55" s="11"/>
      <c r="L55" s="11"/>
      <c r="M55" s="9" t="s">
        <v>361</v>
      </c>
      <c r="N55" s="12" t="s">
        <v>19</v>
      </c>
      <c r="O55" s="12" t="s">
        <v>95</v>
      </c>
      <c r="P55" s="12" t="s">
        <v>362</v>
      </c>
      <c r="Q55" s="12" t="inlineStr">
        <is>
          <t>Exclude</t>
        </is>
      </c>
      <c r="R55" s="12" t="inlineStr">
        <is>
          <t>Review/opinion/editorial</t>
        </is>
      </c>
      <c r="S55" s="12" t="inlineStr">
        <is>
          <t>Meta-analysis of visual impairment and pragmatic impairment; not a questionnaire evaluation.</t>
        </is>
      </c>
    </row>
    <row r="56" spans="1:19" ht="90" customHeight="1" x14ac:dyDescent="0.2">
      <c r="A56" s="9">
        <v>55</v>
      </c>
      <c r="B56" s="9">
        <v>2025</v>
      </c>
      <c r="C56" s="9" t="s">
        <v>363</v>
      </c>
      <c r="D56" s="9" t="s">
        <v>364</v>
      </c>
      <c r="E56" s="9" t="s">
        <v>365</v>
      </c>
      <c r="F56" s="10" t="s">
        <v>52</v>
      </c>
      <c r="G56" s="9" t="s">
        <v>366</v>
      </c>
      <c r="H56" s="11"/>
      <c r="I56" s="11"/>
      <c r="J56" s="11"/>
      <c r="K56" s="11"/>
      <c r="L56" s="11"/>
      <c r="M56" s="9" t="s">
        <v>367</v>
      </c>
      <c r="N56" s="12" t="s">
        <v>17</v>
      </c>
      <c r="O56" s="12"/>
      <c r="P56" s="12" t="s">
        <v>368</v>
      </c>
      <c r="Q56" s="12" t="inlineStr">
        <is>
          <t>Include</t>
        </is>
      </c>
      <c r="R56" s="12"/>
      <c r="S56" s="12" t="inlineStr">
        <is>
          <t>Screening questions on falls/mobility and GAL-9 vs VA/CS in maculopathy LVR patients to guide rehabilitation referral.</t>
        </is>
      </c>
    </row>
    <row r="57" spans="1:19" ht="90" customHeight="1" x14ac:dyDescent="0.2">
      <c r="A57" s="9">
        <v>56</v>
      </c>
      <c r="B57" s="9">
        <v>2021</v>
      </c>
      <c r="C57" s="9" t="s">
        <v>369</v>
      </c>
      <c r="D57" s="9" t="s">
        <v>370</v>
      </c>
      <c r="E57" s="9" t="s">
        <v>371</v>
      </c>
      <c r="F57" s="10" t="s">
        <v>52</v>
      </c>
      <c r="G57" s="9" t="s">
        <v>372</v>
      </c>
      <c r="H57" s="11"/>
      <c r="I57" s="11"/>
      <c r="J57" s="11"/>
      <c r="K57" s="11"/>
      <c r="L57" s="11"/>
      <c r="M57" s="9" t="s">
        <v>373</v>
      </c>
      <c r="N57" s="12" t="s">
        <v>19</v>
      </c>
      <c r="O57" s="12" t="s">
        <v>55</v>
      </c>
      <c r="P57" s="12" t="s">
        <v>374</v>
      </c>
      <c r="Q57" s="12" t="inlineStr">
        <is>
          <t>Maybe</t>
        </is>
      </c>
      <c r="R57" s="12"/>
      <c r="S57" s="12" t="inlineStr">
        <is>
          <t>LVQOL questionnaire change correlated with VA improvement with low vision aids; possible validity data.</t>
        </is>
      </c>
    </row>
    <row r="58" spans="1:19" ht="90" customHeight="1" x14ac:dyDescent="0.2">
      <c r="A58" s="9">
        <v>57</v>
      </c>
      <c r="B58" s="9">
        <v>2022</v>
      </c>
      <c r="C58" s="9" t="s">
        <v>375</v>
      </c>
      <c r="D58" s="9" t="s">
        <v>376</v>
      </c>
      <c r="E58" s="9" t="s">
        <v>377</v>
      </c>
      <c r="F58" s="10" t="s">
        <v>52</v>
      </c>
      <c r="G58" s="13" t="s">
        <v>378</v>
      </c>
      <c r="H58" s="11"/>
      <c r="I58" s="11"/>
      <c r="J58" s="11"/>
      <c r="K58" s="11"/>
      <c r="L58" s="11"/>
      <c r="M58" s="9" t="s">
        <v>379</v>
      </c>
      <c r="N58" s="12" t="s">
        <v>19</v>
      </c>
      <c r="O58" s="12" t="s">
        <v>95</v>
      </c>
      <c r="P58" s="12" t="s">
        <v>380</v>
      </c>
      <c r="Q58" s="12" t="inlineStr">
        <is>
          <t>Exclude</t>
        </is>
      </c>
      <c r="R58" s="12" t="inlineStr">
        <is>
          <t>Review/opinion/editorial</t>
        </is>
      </c>
      <c r="S58" s="12" t="inlineStr">
        <is>
          <t>Systematic review/meta-analysis of visual impairment and frailty.</t>
        </is>
      </c>
    </row>
    <row r="59" spans="1:19" ht="90" customHeight="1" x14ac:dyDescent="0.2">
      <c r="A59" s="9">
        <v>58</v>
      </c>
      <c r="B59" s="9">
        <v>2021</v>
      </c>
      <c r="C59" s="9" t="s">
        <v>381</v>
      </c>
      <c r="D59" s="9" t="s">
        <v>382</v>
      </c>
      <c r="E59" s="9" t="s">
        <v>216</v>
      </c>
      <c r="F59" s="10" t="s">
        <v>52</v>
      </c>
      <c r="G59" s="9" t="s">
        <v>383</v>
      </c>
      <c r="H59" s="11"/>
      <c r="I59" s="11"/>
      <c r="J59" s="11"/>
      <c r="K59" s="11"/>
      <c r="L59" s="11"/>
      <c r="M59" s="9" t="s">
        <v>384</v>
      </c>
      <c r="N59" s="12" t="s">
        <v>19</v>
      </c>
      <c r="O59" s="12" t="s">
        <v>62</v>
      </c>
      <c r="P59" s="12" t="s">
        <v>385</v>
      </c>
      <c r="Q59" s="12" t="inlineStr">
        <is>
          <t>Exclude</t>
        </is>
      </c>
      <c r="R59" s="12" t="inlineStr">
        <is>
          <t>No accuracy/validation data</t>
        </is>
      </c>
      <c r="S59" s="12" t="inlineStr">
        <is>
          <t>Driving habits survey in low vision patients vs licensure criteria; no questionnaire accuracy or validation.</t>
        </is>
      </c>
    </row>
    <row r="60" spans="1:19" ht="90" customHeight="1" x14ac:dyDescent="0.2">
      <c r="A60" s="9">
        <v>59</v>
      </c>
      <c r="B60" s="9">
        <v>2025</v>
      </c>
      <c r="C60" s="9" t="s">
        <v>386</v>
      </c>
      <c r="D60" s="9" t="s">
        <v>387</v>
      </c>
      <c r="E60" s="9" t="s">
        <v>388</v>
      </c>
      <c r="F60" s="10" t="s">
        <v>52</v>
      </c>
      <c r="G60" s="9" t="s">
        <v>389</v>
      </c>
      <c r="H60" s="11"/>
      <c r="I60" s="11"/>
      <c r="J60" s="11"/>
      <c r="K60" s="11"/>
      <c r="L60" s="11"/>
      <c r="M60" s="9" t="s">
        <v>390</v>
      </c>
      <c r="N60" s="12" t="s">
        <v>19</v>
      </c>
      <c r="O60" s="12" t="s">
        <v>47</v>
      </c>
      <c r="P60" s="12" t="s">
        <v>391</v>
      </c>
      <c r="Q60" s="12" t="inlineStr">
        <is>
          <t>Exclude</t>
        </is>
      </c>
      <c r="R60" s="12" t="inlineStr">
        <is>
          <t>Wrong population (not adults)</t>
        </is>
      </c>
      <c r="S60" s="12" t="inlineStr">
        <is>
          <t>Children with Usher syndrome; listening effort focus.</t>
        </is>
      </c>
    </row>
    <row r="61" spans="1:19" ht="90" customHeight="1" x14ac:dyDescent="0.2">
      <c r="A61" s="9">
        <v>60</v>
      </c>
      <c r="B61" s="9">
        <v>2004</v>
      </c>
      <c r="C61" s="9" t="s">
        <v>392</v>
      </c>
      <c r="D61" s="9" t="s">
        <v>393</v>
      </c>
      <c r="E61" s="9" t="s">
        <v>176</v>
      </c>
      <c r="F61" s="10" t="s">
        <v>52</v>
      </c>
      <c r="G61" s="13" t="s">
        <v>394</v>
      </c>
      <c r="H61" s="11"/>
      <c r="I61" s="11"/>
      <c r="J61" s="11"/>
      <c r="K61" s="11"/>
      <c r="L61" s="11"/>
      <c r="M61" s="9" t="s">
        <v>395</v>
      </c>
      <c r="N61" s="12" t="s">
        <v>19</v>
      </c>
      <c r="O61" s="12" t="s">
        <v>55</v>
      </c>
      <c r="P61" s="12" t="s">
        <v>396</v>
      </c>
      <c r="Q61" s="12" t="inlineStr">
        <is>
          <t>Exclude</t>
        </is>
      </c>
      <c r="R61" s="12" t="inlineStr">
        <is>
          <t>Intervention study only</t>
        </is>
      </c>
      <c r="S61" s="12" t="inlineStr">
        <is>
          <t>RCT of a health education programme for AMD; no questionnaire validation.</t>
        </is>
      </c>
    </row>
    <row r="62" spans="1:19" ht="90" customHeight="1" x14ac:dyDescent="0.2">
      <c r="A62" s="9">
        <v>61</v>
      </c>
      <c r="B62" s="9">
        <v>2025</v>
      </c>
      <c r="C62" s="9" t="s">
        <v>397</v>
      </c>
      <c r="D62" s="9" t="s">
        <v>398</v>
      </c>
      <c r="E62" s="9" t="s">
        <v>399</v>
      </c>
      <c r="F62" s="10" t="s">
        <v>52</v>
      </c>
      <c r="G62" s="9" t="s">
        <v>400</v>
      </c>
      <c r="H62" s="11"/>
      <c r="I62" s="11"/>
      <c r="J62" s="11"/>
      <c r="K62" s="11"/>
      <c r="L62" s="11"/>
      <c r="M62" s="9" t="s">
        <v>401</v>
      </c>
      <c r="N62" s="12" t="s">
        <v>19</v>
      </c>
      <c r="O62" s="12" t="s">
        <v>95</v>
      </c>
      <c r="P62" s="12" t="s">
        <v>402</v>
      </c>
      <c r="Q62" s="12" t="inlineStr">
        <is>
          <t>Exclude</t>
        </is>
      </c>
      <c r="R62" s="12" t="inlineStr">
        <is>
          <t>No accuracy/validation data</t>
        </is>
      </c>
      <c r="S62" s="12" t="inlineStr">
        <is>
          <t>Air pollution and self-reported VI epidemiology; self-report item not validated against vision.</t>
        </is>
      </c>
    </row>
    <row r="63" spans="1:19" ht="90" customHeight="1" x14ac:dyDescent="0.2">
      <c r="A63" s="9">
        <v>62</v>
      </c>
      <c r="B63" s="9">
        <v>2026</v>
      </c>
      <c r="C63" s="9" t="s">
        <v>403</v>
      </c>
      <c r="D63" s="9" t="s">
        <v>404</v>
      </c>
      <c r="E63" s="9" t="s">
        <v>405</v>
      </c>
      <c r="F63" s="10" t="s">
        <v>52</v>
      </c>
      <c r="G63" s="9" t="s">
        <v>406</v>
      </c>
      <c r="H63" s="11"/>
      <c r="I63" s="11"/>
      <c r="J63" s="11"/>
      <c r="K63" s="11"/>
      <c r="L63" s="11"/>
      <c r="M63" s="9" t="s">
        <v>407</v>
      </c>
      <c r="N63" s="12" t="s">
        <v>19</v>
      </c>
      <c r="O63" s="12" t="s">
        <v>55</v>
      </c>
      <c r="P63" s="12" t="s">
        <v>408</v>
      </c>
      <c r="Q63" s="12" t="inlineStr">
        <is>
          <t>Exclude</t>
        </is>
      </c>
      <c r="R63" s="12" t="inlineStr">
        <is>
          <t>Intervention study only</t>
        </is>
      </c>
      <c r="S63" s="12" t="inlineStr">
        <is>
          <t>Low vision intervention outcomes in AMD; NEI VFQ-25 used only as outcome.</t>
        </is>
      </c>
    </row>
    <row r="64" spans="1:19" ht="90" customHeight="1" x14ac:dyDescent="0.2">
      <c r="A64" s="9">
        <v>63</v>
      </c>
      <c r="B64" s="9">
        <v>2016</v>
      </c>
      <c r="C64" s="9" t="s">
        <v>409</v>
      </c>
      <c r="D64" s="9" t="s">
        <v>410</v>
      </c>
      <c r="E64" s="9" t="s">
        <v>411</v>
      </c>
      <c r="F64" s="10" t="s">
        <v>52</v>
      </c>
      <c r="G64" s="9" t="s">
        <v>412</v>
      </c>
      <c r="H64" s="11"/>
      <c r="I64" s="11"/>
      <c r="J64" s="11"/>
      <c r="K64" s="11"/>
      <c r="L64" s="11"/>
      <c r="M64" s="9" t="s">
        <v>413</v>
      </c>
      <c r="N64" s="12" t="s">
        <v>76</v>
      </c>
      <c r="O64" s="12"/>
      <c r="P64" s="12" t="s">
        <v>414</v>
      </c>
      <c r="Q64" s="12" t="inlineStr">
        <is>
          <t>Include</t>
        </is>
      </c>
      <c r="R64" s="12"/>
      <c r="S64" s="12" t="inlineStr">
        <is>
          <t>Rasch-analysed 10-item night vision questionnaire compared against measured visual function (LLD, BCVA, microperimetry) in adults with AMD.</t>
        </is>
      </c>
    </row>
    <row r="65" spans="1:19" ht="90" customHeight="1" x14ac:dyDescent="0.2">
      <c r="A65" s="9">
        <v>64</v>
      </c>
      <c r="B65" s="9">
        <v>2009</v>
      </c>
      <c r="C65" s="9" t="s">
        <v>415</v>
      </c>
      <c r="D65" s="9" t="s">
        <v>416</v>
      </c>
      <c r="E65" s="9" t="s">
        <v>417</v>
      </c>
      <c r="F65" s="10" t="s">
        <v>52</v>
      </c>
      <c r="G65" s="13" t="s">
        <v>418</v>
      </c>
      <c r="H65" s="11"/>
      <c r="I65" s="11"/>
      <c r="J65" s="11"/>
      <c r="K65" s="11"/>
      <c r="L65" s="11"/>
      <c r="M65" s="9" t="s">
        <v>419</v>
      </c>
      <c r="N65" s="12" t="s">
        <v>19</v>
      </c>
      <c r="O65" s="12" t="s">
        <v>55</v>
      </c>
      <c r="P65" s="12" t="s">
        <v>420</v>
      </c>
      <c r="Q65" s="12" t="inlineStr">
        <is>
          <t>Exclude</t>
        </is>
      </c>
      <c r="R65" s="12" t="inlineStr">
        <is>
          <t>Intervention study only</t>
        </is>
      </c>
      <c r="S65" s="12" t="inlineStr">
        <is>
          <t>Pilot of MP-1 biofeedback rehabilitation in 5 patients; no questionnaire evaluated.</t>
        </is>
      </c>
    </row>
    <row r="66" spans="1:19" ht="90" customHeight="1" x14ac:dyDescent="0.2">
      <c r="A66" s="9">
        <v>65</v>
      </c>
      <c r="B66" s="9">
        <v>2002</v>
      </c>
      <c r="C66" s="9" t="s">
        <v>421</v>
      </c>
      <c r="D66" s="9" t="s">
        <v>422</v>
      </c>
      <c r="E66" s="9" t="s">
        <v>59</v>
      </c>
      <c r="F66" s="9" t="s">
        <v>129</v>
      </c>
      <c r="G66" s="9" t="s">
        <v>423</v>
      </c>
      <c r="H66" s="11"/>
      <c r="I66" s="11"/>
      <c r="J66" s="11"/>
      <c r="K66" s="11"/>
      <c r="L66" s="11"/>
      <c r="M66" s="9" t="s">
        <v>424</v>
      </c>
      <c r="N66" s="12" t="s">
        <v>17</v>
      </c>
      <c r="O66" s="12"/>
      <c r="P66" s="12" t="s">
        <v>425</v>
      </c>
      <c r="Q66" s="12" t="inlineStr">
        <is>
          <t>Include</t>
        </is>
      </c>
      <c r="R66" s="12"/>
      <c r="S66" s="12" t="inlineStr">
        <is>
          <t>Rasch evaluation of NEI VFQ-25 item functioning and sensitivity to change in veterans receiving LVR.</t>
        </is>
      </c>
    </row>
    <row r="67" spans="1:19" ht="90" customHeight="1" x14ac:dyDescent="0.2">
      <c r="A67" s="9">
        <v>66</v>
      </c>
      <c r="B67" s="9">
        <v>2006</v>
      </c>
      <c r="C67" s="9" t="s">
        <v>421</v>
      </c>
      <c r="D67" s="9" t="s">
        <v>426</v>
      </c>
      <c r="E67" s="9" t="s">
        <v>59</v>
      </c>
      <c r="F67" s="10" t="s">
        <v>52</v>
      </c>
      <c r="G67" s="9" t="s">
        <v>427</v>
      </c>
      <c r="H67" s="11"/>
      <c r="I67" s="11"/>
      <c r="J67" s="11"/>
      <c r="K67" s="11"/>
      <c r="L67" s="11"/>
      <c r="M67" s="9" t="s">
        <v>428</v>
      </c>
      <c r="N67" s="12" t="s">
        <v>17</v>
      </c>
      <c r="O67" s="12"/>
      <c r="P67" s="12" t="s">
        <v>429</v>
      </c>
      <c r="Q67" s="12" t="inlineStr">
        <is>
          <t>Include</t>
        </is>
      </c>
      <c r="R67" s="12"/>
      <c r="S67" s="12" t="inlineStr">
        <is>
          <t>Validation (DIF, responsiveness) of the VA LV VFQ-48 in vision rehabilitation patients.</t>
        </is>
      </c>
    </row>
    <row r="68" spans="1:19" ht="90" customHeight="1" x14ac:dyDescent="0.2">
      <c r="A68" s="9">
        <v>67</v>
      </c>
      <c r="B68" s="9">
        <v>2013</v>
      </c>
      <c r="C68" s="9" t="s">
        <v>430</v>
      </c>
      <c r="D68" s="9" t="s">
        <v>431</v>
      </c>
      <c r="E68" s="9" t="s">
        <v>432</v>
      </c>
      <c r="F68" s="10" t="s">
        <v>52</v>
      </c>
      <c r="G68" s="9" t="s">
        <v>433</v>
      </c>
      <c r="H68" s="11"/>
      <c r="I68" s="11"/>
      <c r="J68" s="11"/>
      <c r="K68" s="11"/>
      <c r="L68" s="11"/>
      <c r="M68" s="9" t="s">
        <v>434</v>
      </c>
      <c r="N68" s="12" t="s">
        <v>76</v>
      </c>
      <c r="O68" s="12"/>
      <c r="P68" s="12" t="s">
        <v>435</v>
      </c>
      <c r="Q68" s="12" t="inlineStr">
        <is>
          <t>Exclude</t>
        </is>
      </c>
      <c r="R68" s="12" t="inlineStr">
        <is>
          <t>Review/opinion/editorial</t>
        </is>
      </c>
      <c r="S68" s="12" t="inlineStr">
        <is>
          <t>Narrative review of clinical reading tests; no questionnaire validation reported.</t>
        </is>
      </c>
    </row>
    <row r="69" spans="1:19" ht="90" customHeight="1" x14ac:dyDescent="0.2">
      <c r="A69" s="9">
        <v>68</v>
      </c>
      <c r="B69" s="9">
        <v>2013</v>
      </c>
      <c r="C69" s="9" t="s">
        <v>436</v>
      </c>
      <c r="D69" s="9" t="s">
        <v>437</v>
      </c>
      <c r="E69" s="9" t="s">
        <v>438</v>
      </c>
      <c r="F69" s="9" t="s">
        <v>129</v>
      </c>
      <c r="G69" s="9" t="s">
        <v>439</v>
      </c>
      <c r="H69" s="11"/>
      <c r="I69" s="11"/>
      <c r="J69" s="11"/>
      <c r="K69" s="11"/>
      <c r="L69" s="11"/>
      <c r="M69" s="9" t="s">
        <v>440</v>
      </c>
      <c r="N69" s="12" t="s">
        <v>19</v>
      </c>
      <c r="O69" s="12" t="s">
        <v>55</v>
      </c>
      <c r="P69" s="12" t="s">
        <v>441</v>
      </c>
      <c r="Q69" s="12" t="inlineStr">
        <is>
          <t>Exclude</t>
        </is>
      </c>
      <c r="R69" s="12" t="inlineStr">
        <is>
          <t>Intervention study only</t>
        </is>
      </c>
      <c r="S69" s="12" t="inlineStr">
        <is>
          <t>MP-1 biofeedback rehabilitation in glaucoma; NEI VFQ-25 used only as an outcome, not validated.</t>
        </is>
      </c>
    </row>
    <row r="70" spans="1:19" ht="90" customHeight="1" x14ac:dyDescent="0.2">
      <c r="A70" s="9">
        <v>69</v>
      </c>
      <c r="B70" s="9">
        <v>2025</v>
      </c>
      <c r="C70" s="9" t="s">
        <v>442</v>
      </c>
      <c r="D70" s="9" t="s">
        <v>443</v>
      </c>
      <c r="E70" s="9" t="s">
        <v>59</v>
      </c>
      <c r="F70" s="10" t="s">
        <v>52</v>
      </c>
      <c r="G70" s="9" t="s">
        <v>444</v>
      </c>
      <c r="H70" s="11"/>
      <c r="I70" s="11"/>
      <c r="J70" s="11"/>
      <c r="K70" s="11"/>
      <c r="L70" s="11"/>
      <c r="M70" s="9" t="s">
        <v>445</v>
      </c>
      <c r="N70" s="12" t="s">
        <v>19</v>
      </c>
      <c r="O70" s="12" t="s">
        <v>95</v>
      </c>
      <c r="P70" s="12" t="s">
        <v>446</v>
      </c>
      <c r="Q70" s="12" t="inlineStr">
        <is>
          <t>Exclude</t>
        </is>
      </c>
      <c r="R70" s="12" t="inlineStr">
        <is>
          <t>No accuracy/validation data</t>
        </is>
      </c>
      <c r="S70" s="12" t="inlineStr">
        <is>
          <t>OCT vs visual function in multiple sclerosis; NEI VFQ collected but not evaluated as an instrument.</t>
        </is>
      </c>
    </row>
    <row r="71" spans="1:19" ht="90" customHeight="1" x14ac:dyDescent="0.2">
      <c r="A71" s="9">
        <v>70</v>
      </c>
      <c r="B71" s="9">
        <v>2023</v>
      </c>
      <c r="C71" s="9" t="s">
        <v>447</v>
      </c>
      <c r="D71" s="9" t="s">
        <v>448</v>
      </c>
      <c r="E71" s="9" t="s">
        <v>152</v>
      </c>
      <c r="F71" s="10" t="s">
        <v>52</v>
      </c>
      <c r="G71" s="9" t="s">
        <v>449</v>
      </c>
      <c r="H71" s="11"/>
      <c r="I71" s="11"/>
      <c r="J71" s="11"/>
      <c r="K71" s="11"/>
      <c r="L71" s="11"/>
      <c r="M71" s="9" t="s">
        <v>450</v>
      </c>
      <c r="N71" s="12" t="s">
        <v>19</v>
      </c>
      <c r="O71" s="12" t="s">
        <v>95</v>
      </c>
      <c r="P71" s="12" t="s">
        <v>451</v>
      </c>
      <c r="Q71" s="12" t="inlineStr">
        <is>
          <t>Exclude</t>
        </is>
      </c>
      <c r="R71" s="12" t="inlineStr">
        <is>
          <t>No questionnaire/screening item</t>
        </is>
      </c>
      <c r="S71" s="12" t="inlineStr">
        <is>
          <t>Population study linking objectively measured VI to dementia; no self-report vision tool evaluated.</t>
        </is>
      </c>
    </row>
    <row r="72" spans="1:19" ht="90" customHeight="1" x14ac:dyDescent="0.2">
      <c r="A72" s="9">
        <v>71</v>
      </c>
      <c r="B72" s="9">
        <v>2009</v>
      </c>
      <c r="C72" s="9" t="s">
        <v>452</v>
      </c>
      <c r="D72" s="9" t="s">
        <v>453</v>
      </c>
      <c r="E72" s="9" t="s">
        <v>454</v>
      </c>
      <c r="F72" s="10" t="s">
        <v>52</v>
      </c>
      <c r="G72" s="9" t="s">
        <v>455</v>
      </c>
      <c r="H72" s="11"/>
      <c r="I72" s="11"/>
      <c r="J72" s="11"/>
      <c r="K72" s="11"/>
      <c r="L72" s="11"/>
      <c r="M72" s="9" t="s">
        <v>456</v>
      </c>
      <c r="N72" s="12" t="s">
        <v>19</v>
      </c>
      <c r="O72" s="12" t="s">
        <v>95</v>
      </c>
      <c r="P72" s="12" t="s">
        <v>457</v>
      </c>
      <c r="Q72" s="12" t="inlineStr">
        <is>
          <t>Exclude</t>
        </is>
      </c>
      <c r="R72" s="12" t="inlineStr">
        <is>
          <t>Not about low vision/visual function</t>
        </is>
      </c>
      <c r="S72" s="12" t="inlineStr">
        <is>
          <t>Pricing survey of specialists on off-label Avastin.</t>
        </is>
      </c>
    </row>
    <row r="73" spans="1:19" ht="90" customHeight="1" x14ac:dyDescent="0.2">
      <c r="A73" s="9">
        <v>72</v>
      </c>
      <c r="B73" s="9">
        <v>2019</v>
      </c>
      <c r="C73" s="9" t="s">
        <v>458</v>
      </c>
      <c r="D73" s="9" t="s">
        <v>459</v>
      </c>
      <c r="E73" s="9" t="s">
        <v>216</v>
      </c>
      <c r="F73" s="10" t="s">
        <v>52</v>
      </c>
      <c r="G73" s="9" t="s">
        <v>460</v>
      </c>
      <c r="H73" s="11"/>
      <c r="I73" s="11"/>
      <c r="J73" s="11"/>
      <c r="K73" s="11"/>
      <c r="L73" s="11"/>
      <c r="M73" s="9" t="s">
        <v>461</v>
      </c>
      <c r="N73" s="12" t="s">
        <v>76</v>
      </c>
      <c r="O73" s="12"/>
      <c r="P73" s="12" t="s">
        <v>462</v>
      </c>
      <c r="Q73" s="12" t="inlineStr">
        <is>
          <t>Include</t>
        </is>
      </c>
      <c r="R73" s="12"/>
      <c r="S73" s="12" t="inlineStr">
        <is>
          <t>Compares responsiveness of IVI and NEI VFQ-25 in low vision patients after vision rehabilitation.</t>
        </is>
      </c>
    </row>
    <row r="74" spans="1:19" ht="90" customHeight="1" x14ac:dyDescent="0.2">
      <c r="A74" s="9">
        <v>73</v>
      </c>
      <c r="B74" s="9">
        <v>2015</v>
      </c>
      <c r="C74" s="9" t="s">
        <v>71</v>
      </c>
      <c r="D74" s="9" t="s">
        <v>463</v>
      </c>
      <c r="E74" s="9" t="s">
        <v>464</v>
      </c>
      <c r="F74" s="10" t="s">
        <v>52</v>
      </c>
      <c r="G74" s="13" t="s">
        <v>465</v>
      </c>
      <c r="H74" s="11"/>
      <c r="I74" s="11"/>
      <c r="J74" s="11"/>
      <c r="K74" s="11"/>
      <c r="L74" s="11"/>
      <c r="M74" s="9" t="s">
        <v>466</v>
      </c>
      <c r="N74" s="12" t="s">
        <v>76</v>
      </c>
      <c r="O74" s="12"/>
      <c r="P74" s="12" t="s">
        <v>467</v>
      </c>
      <c r="Q74" s="12" t="inlineStr">
        <is>
          <t>Maybe</t>
        </is>
      </c>
      <c r="R74" s="12"/>
      <c r="S74" s="12" t="inlineStr">
        <is>
          <t>LVR outcome study using Rasch-scaled VA LV VFQ-48 and IVI; unclear whether any measurement-property data are reported.</t>
        </is>
      </c>
    </row>
    <row r="75" spans="1:19" ht="90" customHeight="1" x14ac:dyDescent="0.2">
      <c r="A75" s="9">
        <v>74</v>
      </c>
      <c r="B75" s="9">
        <v>2004</v>
      </c>
      <c r="C75" s="9" t="s">
        <v>468</v>
      </c>
      <c r="D75" s="9" t="s">
        <v>469</v>
      </c>
      <c r="E75" s="9" t="s">
        <v>470</v>
      </c>
      <c r="F75" s="10" t="s">
        <v>52</v>
      </c>
      <c r="G75" s="9" t="s">
        <v>471</v>
      </c>
      <c r="H75" s="11"/>
      <c r="I75" s="11"/>
      <c r="J75" s="11"/>
      <c r="K75" s="11"/>
      <c r="L75" s="11"/>
      <c r="M75" s="9" t="s">
        <v>472</v>
      </c>
      <c r="N75" s="12" t="s">
        <v>17</v>
      </c>
      <c r="O75" s="12"/>
      <c r="P75" s="12" t="s">
        <v>473</v>
      </c>
      <c r="Q75" s="12" t="inlineStr">
        <is>
          <t>Include</t>
        </is>
      </c>
      <c r="R75" s="12"/>
      <c r="S75" s="12" t="inlineStr">
        <is>
          <t>Development and performance of the VA LV VFQ in low vision rehabilitation patients.</t>
        </is>
      </c>
    </row>
    <row r="76" spans="1:19" ht="90" customHeight="1" x14ac:dyDescent="0.2">
      <c r="A76" s="9">
        <v>75</v>
      </c>
      <c r="B76" s="9">
        <v>2015</v>
      </c>
      <c r="C76" s="9" t="s">
        <v>474</v>
      </c>
      <c r="D76" s="9" t="s">
        <v>475</v>
      </c>
      <c r="E76" s="9" t="s">
        <v>476</v>
      </c>
      <c r="F76" s="10" t="s">
        <v>52</v>
      </c>
      <c r="G76" s="9" t="s">
        <v>477</v>
      </c>
      <c r="H76" s="11"/>
      <c r="I76" s="11"/>
      <c r="J76" s="11"/>
      <c r="K76" s="11"/>
      <c r="L76" s="11"/>
      <c r="M76" s="9" t="s">
        <v>478</v>
      </c>
      <c r="N76" s="12" t="s">
        <v>19</v>
      </c>
      <c r="O76" s="12" t="s">
        <v>62</v>
      </c>
      <c r="P76" s="12" t="s">
        <v>479</v>
      </c>
      <c r="Q76" s="12" t="inlineStr">
        <is>
          <t>Exclude</t>
        </is>
      </c>
      <c r="R76" s="12" t="inlineStr">
        <is>
          <t>No questionnaire/screening item</t>
        </is>
      </c>
      <c r="S76" s="12" t="inlineStr">
        <is>
          <t>Fear-of-falling questionnaire (not a vision instrument) tested as a mediator of physical activity in glaucoma/AMD.</t>
        </is>
      </c>
    </row>
    <row r="77" spans="1:19" ht="90" customHeight="1" x14ac:dyDescent="0.2">
      <c r="A77" s="9">
        <v>76</v>
      </c>
      <c r="B77" s="9">
        <v>2007</v>
      </c>
      <c r="C77" s="9" t="s">
        <v>480</v>
      </c>
      <c r="D77" s="9" t="s">
        <v>481</v>
      </c>
      <c r="E77" s="9" t="s">
        <v>216</v>
      </c>
      <c r="F77" s="10" t="s">
        <v>52</v>
      </c>
      <c r="G77" s="9" t="s">
        <v>482</v>
      </c>
      <c r="H77" s="11"/>
      <c r="I77" s="11"/>
      <c r="J77" s="11"/>
      <c r="K77" s="11"/>
      <c r="L77" s="11"/>
      <c r="M77" s="9" t="s">
        <v>483</v>
      </c>
      <c r="N77" s="12" t="s">
        <v>19</v>
      </c>
      <c r="O77" s="12" t="s">
        <v>62</v>
      </c>
      <c r="P77" s="12" t="s">
        <v>484</v>
      </c>
      <c r="Q77" s="12" t="inlineStr">
        <is>
          <t>Maybe</t>
        </is>
      </c>
      <c r="R77" s="12"/>
      <c r="S77" s="12" t="inlineStr">
        <is>
          <t>Examines construct validity of NEI VFQ-25 against a global QoL item; population and vision comparator unclear from abstract.</t>
        </is>
      </c>
    </row>
    <row r="78" spans="1:19" ht="90" customHeight="1" x14ac:dyDescent="0.2">
      <c r="A78" s="9">
        <v>77</v>
      </c>
      <c r="B78" s="9">
        <v>2019</v>
      </c>
      <c r="C78" s="9" t="s">
        <v>485</v>
      </c>
      <c r="D78" s="9" t="s">
        <v>486</v>
      </c>
      <c r="E78" s="9" t="s">
        <v>487</v>
      </c>
      <c r="F78" s="10" t="s">
        <v>52</v>
      </c>
      <c r="G78" s="9" t="s">
        <v>488</v>
      </c>
      <c r="H78" s="11"/>
      <c r="I78" s="11"/>
      <c r="J78" s="11"/>
      <c r="K78" s="11"/>
      <c r="L78" s="11"/>
      <c r="M78" s="9" t="s">
        <v>489</v>
      </c>
      <c r="N78" s="12" t="s">
        <v>19</v>
      </c>
      <c r="O78" s="12" t="s">
        <v>55</v>
      </c>
      <c r="P78" s="12" t="s">
        <v>490</v>
      </c>
      <c r="Q78" s="12" t="inlineStr">
        <is>
          <t>Exclude</t>
        </is>
      </c>
      <c r="R78" s="12" t="inlineStr">
        <is>
          <t>Intervention study only</t>
        </is>
      </c>
      <c r="S78" s="12" t="inlineStr">
        <is>
          <t>Biofeedback training in 6 AMD patients; questionnaire used only as an outcome.</t>
        </is>
      </c>
    </row>
    <row r="79" spans="1:19" ht="90" customHeight="1" x14ac:dyDescent="0.2">
      <c r="A79" s="9">
        <v>78</v>
      </c>
      <c r="B79" s="9">
        <v>2022</v>
      </c>
      <c r="C79" s="9" t="s">
        <v>491</v>
      </c>
      <c r="D79" s="9" t="s">
        <v>492</v>
      </c>
      <c r="E79" s="9" t="s">
        <v>493</v>
      </c>
      <c r="F79" s="10" t="s">
        <v>52</v>
      </c>
      <c r="G79" s="13" t="s">
        <v>494</v>
      </c>
      <c r="H79" s="11"/>
      <c r="I79" s="11"/>
      <c r="J79" s="11"/>
      <c r="K79" s="11"/>
      <c r="L79" s="11"/>
      <c r="M79" s="9" t="s">
        <v>495</v>
      </c>
      <c r="N79" s="12" t="s">
        <v>19</v>
      </c>
      <c r="O79" s="12" t="s">
        <v>95</v>
      </c>
      <c r="P79" s="12" t="s">
        <v>496</v>
      </c>
      <c r="Q79" s="12" t="inlineStr">
        <is>
          <t>Exclude</t>
        </is>
      </c>
      <c r="R79" s="12" t="inlineStr">
        <is>
          <t>Review/opinion/editorial</t>
        </is>
      </c>
      <c r="S79" s="12" t="inlineStr">
        <is>
          <t>Systematic review of Charles Bonnet syndrome prevalence; not about LVR screening questionnaires.</t>
        </is>
      </c>
    </row>
    <row r="80" spans="1:19" ht="90" customHeight="1" x14ac:dyDescent="0.2">
      <c r="A80" s="9">
        <v>79</v>
      </c>
      <c r="B80" s="9">
        <v>2002</v>
      </c>
      <c r="C80" s="9" t="s">
        <v>497</v>
      </c>
      <c r="D80" s="9" t="s">
        <v>498</v>
      </c>
      <c r="E80" s="9" t="s">
        <v>499</v>
      </c>
      <c r="F80" s="10" t="s">
        <v>52</v>
      </c>
      <c r="G80" s="13" t="s">
        <v>500</v>
      </c>
      <c r="H80" s="11"/>
      <c r="I80" s="11"/>
      <c r="J80" s="11"/>
      <c r="K80" s="11"/>
      <c r="L80" s="11"/>
      <c r="M80" s="9" t="s">
        <v>501</v>
      </c>
      <c r="N80" s="12" t="s">
        <v>17</v>
      </c>
      <c r="O80" s="12"/>
      <c r="P80" s="12" t="s">
        <v>502</v>
      </c>
      <c r="Q80" s="12" t="inlineStr">
        <is>
          <t>Include</t>
        </is>
      </c>
      <c r="R80" s="12"/>
      <c r="S80" s="12" t="inlineStr">
        <is>
          <t>Two self-report screening questions (newsprint, face at 12 ft) assessed against examined VI with PPV/NPV in older adults.</t>
        </is>
      </c>
    </row>
    <row r="81" spans="1:19" ht="90" customHeight="1" x14ac:dyDescent="0.2">
      <c r="A81" s="9">
        <v>80</v>
      </c>
      <c r="B81" s="9">
        <v>2018</v>
      </c>
      <c r="C81" s="9" t="s">
        <v>503</v>
      </c>
      <c r="D81" s="9" t="s">
        <v>504</v>
      </c>
      <c r="E81" s="9" t="s">
        <v>464</v>
      </c>
      <c r="F81" s="10" t="s">
        <v>52</v>
      </c>
      <c r="G81" s="13" t="s">
        <v>505</v>
      </c>
      <c r="H81" s="11"/>
      <c r="I81" s="11"/>
      <c r="J81" s="11"/>
      <c r="K81" s="11"/>
      <c r="L81" s="11"/>
      <c r="M81" s="9" t="s">
        <v>506</v>
      </c>
      <c r="N81" s="12" t="s">
        <v>19</v>
      </c>
      <c r="O81" s="12" t="s">
        <v>62</v>
      </c>
      <c r="P81" s="12" t="s">
        <v>507</v>
      </c>
      <c r="Q81" s="12" t="inlineStr">
        <is>
          <t>Exclude</t>
        </is>
      </c>
      <c r="R81" s="12" t="inlineStr">
        <is>
          <t>No accuracy/validation data</t>
        </is>
      </c>
      <c r="S81" s="12" t="inlineStr">
        <is>
          <t>Population prevalence study of myopic macular degeneration; VF-11 questionnaire used only as an outcome, not evaluated.</t>
        </is>
      </c>
    </row>
    <row r="82" spans="1:19" ht="90" customHeight="1" x14ac:dyDescent="0.2">
      <c r="A82" s="9">
        <v>81</v>
      </c>
      <c r="B82" s="9">
        <v>2026</v>
      </c>
      <c r="C82" s="9" t="s">
        <v>508</v>
      </c>
      <c r="D82" s="9" t="s">
        <v>509</v>
      </c>
      <c r="E82" s="9" t="s">
        <v>510</v>
      </c>
      <c r="F82" s="10" t="s">
        <v>52</v>
      </c>
      <c r="G82" s="9" t="s">
        <v>511</v>
      </c>
      <c r="H82" s="11"/>
      <c r="I82" s="11"/>
      <c r="J82" s="11"/>
      <c r="K82" s="11"/>
      <c r="L82" s="11"/>
      <c r="M82" s="9" t="s">
        <v>512</v>
      </c>
      <c r="N82" s="12" t="s">
        <v>19</v>
      </c>
      <c r="O82" s="12" t="s">
        <v>47</v>
      </c>
      <c r="P82" s="12" t="s">
        <v>513</v>
      </c>
      <c r="Q82" s="12" t="inlineStr">
        <is>
          <t>Exclude</t>
        </is>
      </c>
      <c r="R82" s="12" t="inlineStr">
        <is>
          <t>Wrong population (not adults)</t>
        </is>
      </c>
      <c r="S82" s="12" t="inlineStr">
        <is>
          <t>Screening tool for cerebral visual impairment in children aged 3-50 months.</t>
        </is>
      </c>
    </row>
    <row r="83" spans="1:19" ht="90" customHeight="1" x14ac:dyDescent="0.2">
      <c r="A83" s="9">
        <v>82</v>
      </c>
      <c r="B83" s="9">
        <v>2006</v>
      </c>
      <c r="C83" s="9" t="s">
        <v>514</v>
      </c>
      <c r="D83" s="9" t="s">
        <v>515</v>
      </c>
      <c r="E83" s="9" t="s">
        <v>516</v>
      </c>
      <c r="F83" s="10" t="s">
        <v>52</v>
      </c>
      <c r="G83" s="13" t="s">
        <v>517</v>
      </c>
      <c r="H83" s="11"/>
      <c r="I83" s="11"/>
      <c r="J83" s="11"/>
      <c r="K83" s="11"/>
      <c r="L83" s="11"/>
      <c r="M83" s="9" t="s">
        <v>518</v>
      </c>
      <c r="N83" s="12" t="s">
        <v>19</v>
      </c>
      <c r="O83" s="12" t="s">
        <v>69</v>
      </c>
      <c r="P83" s="12" t="s">
        <v>519</v>
      </c>
      <c r="Q83" s="12" t="inlineStr">
        <is>
          <t>Exclude</t>
        </is>
      </c>
      <c r="R83" s="12" t="inlineStr">
        <is>
          <t>Review/opinion/editorial</t>
        </is>
      </c>
      <c r="S83" s="12" t="inlineStr">
        <is>
          <t>Narrative overview of LVR service principles; no questionnaire data and not a referral guideline.</t>
        </is>
      </c>
    </row>
    <row r="84" spans="1:19" ht="90" customHeight="1" x14ac:dyDescent="0.2">
      <c r="A84" s="9">
        <v>83</v>
      </c>
      <c r="B84" s="9">
        <v>2013</v>
      </c>
      <c r="C84" s="9" t="s">
        <v>520</v>
      </c>
      <c r="D84" s="9" t="s">
        <v>521</v>
      </c>
      <c r="E84" s="9" t="s">
        <v>522</v>
      </c>
      <c r="F84" s="10" t="s">
        <v>52</v>
      </c>
      <c r="G84" s="9" t="s">
        <v>523</v>
      </c>
      <c r="H84" s="11"/>
      <c r="I84" s="11"/>
      <c r="J84" s="11"/>
      <c r="K84" s="11"/>
      <c r="L84" s="11"/>
      <c r="M84" s="9" t="s">
        <v>524</v>
      </c>
      <c r="N84" s="12" t="s">
        <v>19</v>
      </c>
      <c r="O84" s="12" t="s">
        <v>24</v>
      </c>
      <c r="P84" s="12" t="s">
        <v>525</v>
      </c>
      <c r="Q84" s="12" t="inlineStr">
        <is>
          <t>Exclude</t>
        </is>
      </c>
      <c r="R84" s="12" t="inlineStr">
        <is>
          <t>No questionnaire/screening item</t>
        </is>
      </c>
      <c r="S84" s="12" t="inlineStr">
        <is>
          <t>Halo software test of visual discrimination in drivers; driving questionnaire not evaluated.</t>
        </is>
      </c>
    </row>
    <row r="85" spans="1:19" ht="90" customHeight="1" x14ac:dyDescent="0.2">
      <c r="A85" s="9">
        <v>84</v>
      </c>
      <c r="B85" s="9">
        <v>2017</v>
      </c>
      <c r="C85" s="9" t="s">
        <v>526</v>
      </c>
      <c r="D85" s="9" t="s">
        <v>527</v>
      </c>
      <c r="E85" s="9" t="s">
        <v>528</v>
      </c>
      <c r="F85" s="10" t="s">
        <v>52</v>
      </c>
      <c r="G85" s="9" t="s">
        <v>529</v>
      </c>
      <c r="H85" s="11"/>
      <c r="I85" s="11"/>
      <c r="J85" s="11"/>
      <c r="K85" s="11"/>
      <c r="L85" s="11"/>
      <c r="M85" s="9" t="s">
        <v>530</v>
      </c>
      <c r="N85" s="12" t="s">
        <v>76</v>
      </c>
      <c r="O85" s="12"/>
      <c r="P85" s="12" t="s">
        <v>531</v>
      </c>
      <c r="Q85" s="12" t="inlineStr">
        <is>
          <t>Maybe</t>
        </is>
      </c>
      <c r="R85" s="12"/>
      <c r="S85" s="12" t="inlineStr">
        <is>
          <t>NEI VFQ-25 correlated with measured visual function in Stargardt disease; small sample, and adult age needs confirming.</t>
        </is>
      </c>
    </row>
    <row r="86" spans="1:19" ht="90" customHeight="1" x14ac:dyDescent="0.2">
      <c r="A86" s="9">
        <v>85</v>
      </c>
      <c r="B86" s="9">
        <v>2013</v>
      </c>
      <c r="C86" s="9" t="s">
        <v>532</v>
      </c>
      <c r="D86" s="9" t="s">
        <v>533</v>
      </c>
      <c r="E86" s="9" t="s">
        <v>534</v>
      </c>
      <c r="F86" s="10" t="s">
        <v>52</v>
      </c>
      <c r="G86" s="13" t="s">
        <v>535</v>
      </c>
      <c r="H86" s="11"/>
      <c r="I86" s="11"/>
      <c r="J86" s="11"/>
      <c r="K86" s="11"/>
      <c r="L86" s="11"/>
      <c r="M86" s="9" t="s">
        <v>536</v>
      </c>
      <c r="N86" s="12" t="s">
        <v>19</v>
      </c>
      <c r="O86" s="12" t="s">
        <v>62</v>
      </c>
      <c r="P86" s="12" t="s">
        <v>537</v>
      </c>
      <c r="Q86" s="12" t="inlineStr">
        <is>
          <t>Maybe</t>
        </is>
      </c>
      <c r="R86" s="12"/>
      <c r="S86" s="12" t="inlineStr">
        <is>
          <t>Qualitative content-validity refinement of an LVR outcome instrument (LVIM); no psychometric data, but relevant to LVR tools.</t>
        </is>
      </c>
    </row>
    <row r="87" spans="1:19" ht="90" customHeight="1" x14ac:dyDescent="0.2">
      <c r="A87" s="9">
        <v>86</v>
      </c>
      <c r="B87" s="9">
        <v>2019</v>
      </c>
      <c r="C87" s="9" t="s">
        <v>538</v>
      </c>
      <c r="D87" s="9" t="s">
        <v>539</v>
      </c>
      <c r="E87" s="9" t="s">
        <v>123</v>
      </c>
      <c r="F87" s="10" t="s">
        <v>52</v>
      </c>
      <c r="G87" s="9" t="s">
        <v>540</v>
      </c>
      <c r="H87" s="11"/>
      <c r="I87" s="11"/>
      <c r="J87" s="11"/>
      <c r="K87" s="11"/>
      <c r="L87" s="11"/>
      <c r="M87" s="9" t="s">
        <v>541</v>
      </c>
      <c r="N87" s="12" t="s">
        <v>76</v>
      </c>
      <c r="O87" s="12"/>
      <c r="P87" s="12" t="s">
        <v>542</v>
      </c>
      <c r="Q87" s="12" t="inlineStr">
        <is>
          <t>Include</t>
        </is>
      </c>
      <c r="R87" s="12"/>
      <c r="S87" s="12" t="inlineStr">
        <is>
          <t>Rasch-analysed Participation and Activity Inventory measuring rehabilitative need in adults entering LVR, related to VA and other measures.</t>
        </is>
      </c>
    </row>
    <row r="88" spans="1:19" ht="90" customHeight="1" x14ac:dyDescent="0.2">
      <c r="A88" s="9">
        <v>87</v>
      </c>
      <c r="B88" s="9">
        <v>2014</v>
      </c>
      <c r="C88" s="9" t="s">
        <v>543</v>
      </c>
      <c r="D88" s="9" t="s">
        <v>544</v>
      </c>
      <c r="E88" s="9" t="s">
        <v>545</v>
      </c>
      <c r="F88" s="10" t="s">
        <v>52</v>
      </c>
      <c r="G88" s="9" t="s">
        <v>546</v>
      </c>
      <c r="H88" s="11"/>
      <c r="I88" s="11"/>
      <c r="J88" s="11"/>
      <c r="K88" s="11"/>
      <c r="L88" s="11"/>
      <c r="M88" s="9" t="s">
        <v>547</v>
      </c>
      <c r="N88" s="12" t="s">
        <v>19</v>
      </c>
      <c r="O88" s="12" t="s">
        <v>62</v>
      </c>
      <c r="P88" s="12" t="s">
        <v>548</v>
      </c>
      <c r="Q88" s="12" t="inlineStr">
        <is>
          <t>Exclude</t>
        </is>
      </c>
      <c r="R88" s="12" t="inlineStr">
        <is>
          <t>No accuracy/validation data</t>
        </is>
      </c>
      <c r="S88" s="12" t="inlineStr">
        <is>
          <t>Population study of vision and fear of falling; single self-rated vision item used as exposure, not validated.</t>
        </is>
      </c>
    </row>
    <row r="89" spans="1:19" ht="90" customHeight="1" x14ac:dyDescent="0.2">
      <c r="A89" s="9">
        <v>88</v>
      </c>
      <c r="B89" s="9">
        <v>2013</v>
      </c>
      <c r="C89" s="9" t="s">
        <v>549</v>
      </c>
      <c r="D89" s="9" t="s">
        <v>550</v>
      </c>
      <c r="E89" s="9" t="s">
        <v>499</v>
      </c>
      <c r="F89" s="10" t="s">
        <v>52</v>
      </c>
      <c r="G89" s="9" t="s">
        <v>551</v>
      </c>
      <c r="H89" s="11"/>
      <c r="I89" s="11"/>
      <c r="J89" s="11"/>
      <c r="K89" s="11"/>
      <c r="L89" s="11"/>
      <c r="M89" s="9" t="s">
        <v>552</v>
      </c>
      <c r="N89" s="12" t="s">
        <v>19</v>
      </c>
      <c r="O89" s="12" t="s">
        <v>55</v>
      </c>
      <c r="P89" s="12" t="s">
        <v>553</v>
      </c>
      <c r="Q89" s="12" t="inlineStr">
        <is>
          <t>Maybe</t>
        </is>
      </c>
      <c r="R89" s="12"/>
      <c r="S89" s="12" t="inlineStr">
        <is>
          <t>Responsiveness and discrimination of the generic EQ-5D tested against the Activity Inventory in LVR patients; measurement-property data, but EQ-5D is not a vision-specific instrument.</t>
        </is>
      </c>
    </row>
    <row r="90" spans="1:19" ht="90" customHeight="1" x14ac:dyDescent="0.2">
      <c r="A90" s="9">
        <v>89</v>
      </c>
      <c r="B90" s="9">
        <v>2020</v>
      </c>
      <c r="C90" s="9" t="s">
        <v>554</v>
      </c>
      <c r="D90" s="9" t="s">
        <v>555</v>
      </c>
      <c r="E90" s="9" t="s">
        <v>556</v>
      </c>
      <c r="F90" s="10" t="s">
        <v>52</v>
      </c>
      <c r="G90" s="9" t="s">
        <v>557</v>
      </c>
      <c r="H90" s="11"/>
      <c r="I90" s="11"/>
      <c r="J90" s="11"/>
      <c r="K90" s="11"/>
      <c r="L90" s="11"/>
      <c r="M90" s="9" t="s">
        <v>558</v>
      </c>
      <c r="N90" s="12" t="s">
        <v>76</v>
      </c>
      <c r="O90" s="12"/>
      <c r="P90" s="12" t="s">
        <v>559</v>
      </c>
      <c r="Q90" s="12" t="inlineStr">
        <is>
          <t>Include</t>
        </is>
      </c>
      <c r="R90" s="12"/>
      <c r="S90" s="12" t="inlineStr">
        <is>
          <t>Rasch-based responsiveness validation of the LVIM-R in adults receiving low vision rehabilitation.</t>
        </is>
      </c>
    </row>
    <row r="91" spans="1:19" ht="90" customHeight="1" x14ac:dyDescent="0.2">
      <c r="A91" s="9">
        <v>90</v>
      </c>
      <c r="B91" s="9">
        <v>2011</v>
      </c>
      <c r="C91" s="9" t="s">
        <v>560</v>
      </c>
      <c r="D91" s="9" t="s">
        <v>561</v>
      </c>
      <c r="E91" s="9" t="s">
        <v>59</v>
      </c>
      <c r="F91" s="10" t="s">
        <v>52</v>
      </c>
      <c r="G91" s="9" t="s">
        <v>562</v>
      </c>
      <c r="H91" s="11"/>
      <c r="I91" s="11"/>
      <c r="J91" s="11"/>
      <c r="K91" s="11"/>
      <c r="L91" s="11"/>
      <c r="M91" s="9" t="s">
        <v>563</v>
      </c>
      <c r="N91" s="12" t="s">
        <v>19</v>
      </c>
      <c r="O91" s="12" t="s">
        <v>62</v>
      </c>
      <c r="P91" s="12" t="s">
        <v>564</v>
      </c>
      <c r="Q91" s="12" t="inlineStr">
        <is>
          <t>Exclude</t>
        </is>
      </c>
      <c r="R91" s="12" t="inlineStr">
        <is>
          <t>No questionnaire/screening item</t>
        </is>
      </c>
      <c r="S91" s="12" t="inlineStr">
        <is>
          <t>Falls and injuries in AMD predicted by clinical vision measures; no self-report tool evaluated.</t>
        </is>
      </c>
    </row>
    <row r="92" spans="1:19" ht="90" customHeight="1" x14ac:dyDescent="0.2">
      <c r="A92" s="9">
        <v>91</v>
      </c>
      <c r="B92" s="9">
        <v>2020</v>
      </c>
      <c r="C92" s="9" t="s">
        <v>565</v>
      </c>
      <c r="D92" s="9" t="s">
        <v>566</v>
      </c>
      <c r="E92" s="9" t="s">
        <v>567</v>
      </c>
      <c r="F92" s="10" t="s">
        <v>52</v>
      </c>
      <c r="G92" s="9" t="s">
        <v>568</v>
      </c>
      <c r="H92" s="11"/>
      <c r="I92" s="11"/>
      <c r="J92" s="11"/>
      <c r="K92" s="11"/>
      <c r="L92" s="11"/>
      <c r="M92" s="9" t="s">
        <v>569</v>
      </c>
      <c r="N92" s="12" t="s">
        <v>19</v>
      </c>
      <c r="O92" s="12" t="s">
        <v>95</v>
      </c>
      <c r="P92" s="12" t="s">
        <v>570</v>
      </c>
      <c r="Q92" s="12" t="inlineStr">
        <is>
          <t>Exclude</t>
        </is>
      </c>
      <c r="R92" s="12" t="inlineStr">
        <is>
          <t>No questionnaire/screening item</t>
        </is>
      </c>
      <c r="S92" s="12" t="inlineStr">
        <is>
          <t>Two-participant study of BCI/eye-tracking typing in ALS; no questionnaire evaluated.</t>
        </is>
      </c>
    </row>
    <row r="93" spans="1:19" ht="90" customHeight="1" x14ac:dyDescent="0.2">
      <c r="A93" s="9">
        <v>92</v>
      </c>
      <c r="B93" s="9">
        <v>2026</v>
      </c>
      <c r="C93" s="9" t="s">
        <v>571</v>
      </c>
      <c r="D93" s="9" t="s">
        <v>572</v>
      </c>
      <c r="E93" s="9" t="s">
        <v>59</v>
      </c>
      <c r="F93" s="10" t="s">
        <v>52</v>
      </c>
      <c r="G93" s="9" t="s">
        <v>573</v>
      </c>
      <c r="H93" s="11"/>
      <c r="I93" s="11"/>
      <c r="J93" s="11"/>
      <c r="K93" s="11"/>
      <c r="L93" s="11"/>
      <c r="M93" s="9" t="s">
        <v>574</v>
      </c>
      <c r="N93" s="12" t="s">
        <v>17</v>
      </c>
      <c r="O93" s="12"/>
      <c r="P93" s="12" t="s">
        <v>575</v>
      </c>
      <c r="Q93" s="12" t="inlineStr">
        <is>
          <t>Include</t>
        </is>
      </c>
      <c r="R93" s="12"/>
      <c r="S93" s="12" t="inlineStr">
        <is>
          <t>Screening questions (menu, keyboard) vs measured VA in 385 adults with sensitivity, specificity and AUC; core study.</t>
        </is>
      </c>
    </row>
    <row r="94" spans="1:19" ht="90" customHeight="1" x14ac:dyDescent="0.2">
      <c r="A94" s="9">
        <v>93</v>
      </c>
      <c r="B94" s="9">
        <v>2009</v>
      </c>
      <c r="C94" s="9" t="s">
        <v>576</v>
      </c>
      <c r="D94" s="9" t="s">
        <v>577</v>
      </c>
      <c r="E94" s="9"/>
      <c r="F94" s="9" t="s">
        <v>129</v>
      </c>
      <c r="G94" s="9" t="s">
        <v>578</v>
      </c>
      <c r="H94" s="11"/>
      <c r="I94" s="11"/>
      <c r="J94" s="11"/>
      <c r="K94" s="11"/>
      <c r="L94" s="11"/>
      <c r="M94" s="9" t="s">
        <v>579</v>
      </c>
      <c r="N94" s="12" t="s">
        <v>17</v>
      </c>
      <c r="O94" s="12"/>
      <c r="P94" s="12" t="s">
        <v>580</v>
      </c>
      <c r="Q94" s="12" t="inlineStr">
        <is>
          <t>Include</t>
        </is>
      </c>
      <c r="R94" s="12"/>
      <c r="S94" s="12" t="inlineStr">
        <is>
          <t>USPSTF systematic review that summarises accuracy of screening questions vs VA testing in older adults.</t>
        </is>
      </c>
    </row>
    <row r="95" spans="1:19" ht="90" customHeight="1" x14ac:dyDescent="0.2">
      <c r="A95" s="9">
        <v>94</v>
      </c>
      <c r="B95" s="9">
        <v>2011</v>
      </c>
      <c r="C95" s="9" t="s">
        <v>581</v>
      </c>
      <c r="D95" s="9" t="s">
        <v>582</v>
      </c>
      <c r="E95" s="9" t="s">
        <v>583</v>
      </c>
      <c r="F95" s="10" t="s">
        <v>52</v>
      </c>
      <c r="G95" s="9" t="s">
        <v>584</v>
      </c>
      <c r="H95" s="11"/>
      <c r="I95" s="11"/>
      <c r="J95" s="11"/>
      <c r="K95" s="11"/>
      <c r="L95" s="11"/>
      <c r="M95" s="9" t="s">
        <v>585</v>
      </c>
      <c r="N95" s="12" t="s">
        <v>19</v>
      </c>
      <c r="O95" s="12" t="s">
        <v>47</v>
      </c>
      <c r="P95" s="12" t="s">
        <v>586</v>
      </c>
      <c r="Q95" s="12" t="inlineStr">
        <is>
          <t>Exclude</t>
        </is>
      </c>
      <c r="R95" s="12" t="inlineStr">
        <is>
          <t>Wrong population (not adults)</t>
        </is>
      </c>
      <c r="S95" s="12" t="inlineStr">
        <is>
          <t>Parent-reported CVI questionnaire in children.</t>
        </is>
      </c>
    </row>
    <row r="96" spans="1:19" ht="90" customHeight="1" x14ac:dyDescent="0.2">
      <c r="A96" s="9">
        <v>95</v>
      </c>
      <c r="B96" s="9">
        <v>2007</v>
      </c>
      <c r="C96" s="9" t="s">
        <v>587</v>
      </c>
      <c r="D96" s="9" t="s">
        <v>588</v>
      </c>
      <c r="E96" s="9" t="s">
        <v>59</v>
      </c>
      <c r="F96" s="10" t="s">
        <v>52</v>
      </c>
      <c r="G96" s="9" t="s">
        <v>589</v>
      </c>
      <c r="H96" s="11"/>
      <c r="I96" s="11"/>
      <c r="J96" s="11"/>
      <c r="K96" s="11"/>
      <c r="L96" s="11"/>
      <c r="M96" s="9" t="s">
        <v>590</v>
      </c>
      <c r="N96" s="12" t="s">
        <v>19</v>
      </c>
      <c r="O96" s="12" t="s">
        <v>62</v>
      </c>
      <c r="P96" s="12" t="s">
        <v>591</v>
      </c>
      <c r="Q96" s="12" t="inlineStr">
        <is>
          <t>Include</t>
        </is>
      </c>
      <c r="R96" s="12"/>
      <c r="S96" s="12" t="inlineStr">
        <is>
          <t>Rasch validation of self-reported driving difficulty in 851 low-vision clinic patients, related to VA and CS.</t>
        </is>
      </c>
    </row>
    <row r="97" spans="1:19" ht="90" customHeight="1" x14ac:dyDescent="0.2">
      <c r="A97" s="9">
        <v>96</v>
      </c>
      <c r="B97" s="9">
        <v>2022</v>
      </c>
      <c r="C97" s="9" t="s">
        <v>592</v>
      </c>
      <c r="D97" s="9" t="s">
        <v>593</v>
      </c>
      <c r="E97" s="9" t="s">
        <v>594</v>
      </c>
      <c r="F97" s="10" t="s">
        <v>52</v>
      </c>
      <c r="G97" s="9" t="s">
        <v>595</v>
      </c>
      <c r="H97" s="11"/>
      <c r="I97" s="11"/>
      <c r="J97" s="11"/>
      <c r="K97" s="11"/>
      <c r="L97" s="11"/>
      <c r="M97" s="9" t="s">
        <v>596</v>
      </c>
      <c r="N97" s="12" t="s">
        <v>19</v>
      </c>
      <c r="O97" s="12" t="s">
        <v>55</v>
      </c>
      <c r="P97" s="12" t="s">
        <v>597</v>
      </c>
      <c r="Q97" s="12" t="inlineStr">
        <is>
          <t>Exclude</t>
        </is>
      </c>
      <c r="R97" s="12" t="inlineStr">
        <is>
          <t>Intervention study only</t>
        </is>
      </c>
      <c r="S97" s="12" t="inlineStr">
        <is>
          <t>PRL biofeedback training outcomes; VFQ-25 used only as an outcome measure.</t>
        </is>
      </c>
    </row>
    <row r="98" spans="1:19" ht="90" customHeight="1" x14ac:dyDescent="0.2">
      <c r="A98" s="9">
        <v>97</v>
      </c>
      <c r="B98" s="9">
        <v>2006</v>
      </c>
      <c r="C98" s="9" t="s">
        <v>598</v>
      </c>
      <c r="D98" s="9" t="s">
        <v>599</v>
      </c>
      <c r="E98" s="9" t="s">
        <v>59</v>
      </c>
      <c r="F98" s="10" t="s">
        <v>52</v>
      </c>
      <c r="G98" s="9" t="s">
        <v>600</v>
      </c>
      <c r="H98" s="11"/>
      <c r="I98" s="11"/>
      <c r="J98" s="11"/>
      <c r="K98" s="11"/>
      <c r="L98" s="11"/>
      <c r="M98" s="9" t="s">
        <v>601</v>
      </c>
      <c r="N98" s="12" t="s">
        <v>19</v>
      </c>
      <c r="O98" s="12" t="s">
        <v>62</v>
      </c>
      <c r="P98" s="12" t="s">
        <v>602</v>
      </c>
      <c r="Q98" s="12" t="inlineStr">
        <is>
          <t>Include</t>
        </is>
      </c>
      <c r="R98" s="12"/>
      <c r="S98" s="12" t="inlineStr">
        <is>
          <t>Develops and Rasch-validates the Spatial Localization Questionnaire against clinical vision tests in visually impaired adults.</t>
        </is>
      </c>
    </row>
    <row r="99" spans="1:19" ht="90" customHeight="1" x14ac:dyDescent="0.2">
      <c r="A99" s="9">
        <v>98</v>
      </c>
      <c r="B99" s="9">
        <v>2022</v>
      </c>
      <c r="C99" s="9" t="s">
        <v>603</v>
      </c>
      <c r="D99" s="9" t="s">
        <v>604</v>
      </c>
      <c r="E99" s="9" t="s">
        <v>605</v>
      </c>
      <c r="F99" s="10" t="s">
        <v>52</v>
      </c>
      <c r="G99" s="9" t="s">
        <v>606</v>
      </c>
      <c r="H99" s="11"/>
      <c r="I99" s="11"/>
      <c r="J99" s="11"/>
      <c r="K99" s="11"/>
      <c r="L99" s="11"/>
      <c r="M99" s="9" t="s">
        <v>607</v>
      </c>
      <c r="N99" s="12" t="s">
        <v>19</v>
      </c>
      <c r="O99" s="12" t="s">
        <v>62</v>
      </c>
      <c r="P99" s="12" t="s">
        <v>608</v>
      </c>
      <c r="Q99" s="12" t="inlineStr">
        <is>
          <t>Exclude</t>
        </is>
      </c>
      <c r="R99" s="12" t="inlineStr">
        <is>
          <t>No accuracy/validation data</t>
        </is>
      </c>
      <c r="S99" s="12" t="inlineStr">
        <is>
          <t>Driving simulator speed study in cataract; Driver Habits Questionnaire used descriptively without validation.</t>
        </is>
      </c>
    </row>
    <row r="100" spans="1:19" ht="90" customHeight="1" x14ac:dyDescent="0.2">
      <c r="A100" s="9">
        <v>99</v>
      </c>
      <c r="B100" s="9">
        <v>2023</v>
      </c>
      <c r="C100" s="9" t="s">
        <v>186</v>
      </c>
      <c r="D100" s="9" t="s">
        <v>609</v>
      </c>
      <c r="E100" s="9" t="s">
        <v>610</v>
      </c>
      <c r="F100" s="10" t="s">
        <v>52</v>
      </c>
      <c r="G100" s="13" t="s">
        <v>611</v>
      </c>
      <c r="H100" s="11"/>
      <c r="I100" s="11"/>
      <c r="J100" s="11"/>
      <c r="K100" s="11"/>
      <c r="L100" s="11"/>
      <c r="M100" s="9" t="s">
        <v>612</v>
      </c>
      <c r="N100" s="12" t="s">
        <v>19</v>
      </c>
      <c r="O100" s="12" t="s">
        <v>55</v>
      </c>
      <c r="P100" s="12" t="s">
        <v>613</v>
      </c>
      <c r="Q100" s="12" t="inlineStr">
        <is>
          <t>Exclude</t>
        </is>
      </c>
      <c r="R100" s="12" t="inlineStr">
        <is>
          <t>Intervention study only</t>
        </is>
      </c>
      <c r="S100" s="12" t="inlineStr">
        <is>
          <t>RCT and cost-effectiveness of basic LVR; no questionnaire validation or screening data.</t>
        </is>
      </c>
    </row>
    <row r="101" spans="1:19" ht="90" customHeight="1" x14ac:dyDescent="0.2">
      <c r="A101" s="9">
        <v>100</v>
      </c>
      <c r="B101" s="9">
        <v>2023</v>
      </c>
      <c r="C101" s="9" t="s">
        <v>614</v>
      </c>
      <c r="D101" s="9" t="s">
        <v>615</v>
      </c>
      <c r="E101" s="9" t="s">
        <v>616</v>
      </c>
      <c r="F101" s="10" t="s">
        <v>52</v>
      </c>
      <c r="G101" s="9" t="s">
        <v>617</v>
      </c>
      <c r="H101" s="11"/>
      <c r="I101" s="11"/>
      <c r="J101" s="11"/>
      <c r="K101" s="11"/>
      <c r="L101" s="11"/>
      <c r="M101" s="9" t="s">
        <v>618</v>
      </c>
      <c r="N101" s="12" t="s">
        <v>19</v>
      </c>
      <c r="O101" s="12" t="s">
        <v>95</v>
      </c>
      <c r="P101" s="12" t="s">
        <v>619</v>
      </c>
      <c r="Q101" s="12" t="inlineStr">
        <is>
          <t>Exclude</t>
        </is>
      </c>
      <c r="R101" s="12" t="inlineStr">
        <is>
          <t>No accuracy/validation data</t>
        </is>
      </c>
      <c r="S101" s="12" t="inlineStr">
        <is>
          <t>Self-reported VI (NEI-VFQ) as an exposure for cognitive decline; no validation against vision.</t>
        </is>
      </c>
    </row>
    <row r="102" spans="1:19" ht="90" customHeight="1" x14ac:dyDescent="0.2">
      <c r="A102" s="9">
        <v>101</v>
      </c>
      <c r="B102" s="9">
        <v>2018</v>
      </c>
      <c r="C102" s="9" t="s">
        <v>620</v>
      </c>
      <c r="D102" s="9" t="s">
        <v>621</v>
      </c>
      <c r="E102" s="9" t="s">
        <v>216</v>
      </c>
      <c r="F102" s="10" t="s">
        <v>52</v>
      </c>
      <c r="G102" s="9" t="s">
        <v>622</v>
      </c>
      <c r="H102" s="11"/>
      <c r="I102" s="11"/>
      <c r="J102" s="11"/>
      <c r="K102" s="11"/>
      <c r="L102" s="11"/>
      <c r="M102" s="9" t="s">
        <v>623</v>
      </c>
      <c r="N102" s="12" t="s">
        <v>19</v>
      </c>
      <c r="O102" s="12" t="s">
        <v>55</v>
      </c>
      <c r="P102" s="12" t="s">
        <v>624</v>
      </c>
      <c r="Q102" s="12" t="inlineStr">
        <is>
          <t>Exclude</t>
        </is>
      </c>
      <c r="R102" s="12" t="inlineStr">
        <is>
          <t>Intervention study only</t>
        </is>
      </c>
      <c r="S102" s="12" t="inlineStr">
        <is>
          <t>Head-mounted device trial; VA LV VFQ-48 used only as an outcome measure.</t>
        </is>
      </c>
    </row>
    <row r="103" spans="1:19" ht="90" customHeight="1" x14ac:dyDescent="0.2">
      <c r="A103" s="9">
        <v>102</v>
      </c>
      <c r="B103" s="9">
        <v>2022</v>
      </c>
      <c r="C103" s="9" t="s">
        <v>625</v>
      </c>
      <c r="D103" s="9" t="s">
        <v>626</v>
      </c>
      <c r="E103" s="9" t="s">
        <v>627</v>
      </c>
      <c r="F103" s="10" t="s">
        <v>52</v>
      </c>
      <c r="G103" s="9" t="s">
        <v>628</v>
      </c>
      <c r="H103" s="11"/>
      <c r="I103" s="11"/>
      <c r="J103" s="11"/>
      <c r="K103" s="11"/>
      <c r="L103" s="11"/>
      <c r="M103" s="9" t="s">
        <v>629</v>
      </c>
      <c r="N103" s="12" t="s">
        <v>19</v>
      </c>
      <c r="O103" s="12" t="s">
        <v>47</v>
      </c>
      <c r="P103" s="12" t="s">
        <v>630</v>
      </c>
      <c r="Q103" s="12" t="inlineStr">
        <is>
          <t>Exclude</t>
        </is>
      </c>
      <c r="R103" s="12" t="inlineStr">
        <is>
          <t>Wrong population (not adults)</t>
        </is>
      </c>
      <c r="S103" s="12" t="inlineStr">
        <is>
          <t>CVI diagnosis and referral guidelines for children aged 18 or under.</t>
        </is>
      </c>
    </row>
    <row r="104" spans="1:19" ht="90" customHeight="1" x14ac:dyDescent="0.2">
      <c r="A104" s="9">
        <v>103</v>
      </c>
      <c r="B104" s="9">
        <v>2026</v>
      </c>
      <c r="C104" s="9" t="s">
        <v>631</v>
      </c>
      <c r="D104" s="9" t="s">
        <v>632</v>
      </c>
      <c r="E104" s="9" t="s">
        <v>152</v>
      </c>
      <c r="F104" s="10" t="s">
        <v>52</v>
      </c>
      <c r="G104" s="9" t="s">
        <v>633</v>
      </c>
      <c r="H104" s="11"/>
      <c r="I104" s="11"/>
      <c r="J104" s="11"/>
      <c r="K104" s="11"/>
      <c r="L104" s="11"/>
      <c r="M104" s="9" t="s">
        <v>634</v>
      </c>
      <c r="N104" s="12" t="s">
        <v>19</v>
      </c>
      <c r="O104" s="12" t="s">
        <v>62</v>
      </c>
      <c r="P104" s="12" t="s">
        <v>635</v>
      </c>
      <c r="Q104" s="12" t="inlineStr">
        <is>
          <t>Exclude</t>
        </is>
      </c>
      <c r="R104" s="12" t="inlineStr">
        <is>
          <t>No questionnaire/screening item</t>
        </is>
      </c>
      <c r="S104" s="12" t="inlineStr">
        <is>
          <t>Home hazards, measured vision and falls; no self-report vision tool evaluated.</t>
        </is>
      </c>
    </row>
    <row r="105" spans="1:19" ht="90" customHeight="1" x14ac:dyDescent="0.2">
      <c r="A105" s="9">
        <v>104</v>
      </c>
      <c r="B105" s="9">
        <v>2024</v>
      </c>
      <c r="C105" s="9" t="s">
        <v>636</v>
      </c>
      <c r="D105" s="9" t="s">
        <v>637</v>
      </c>
      <c r="E105" s="9" t="s">
        <v>638</v>
      </c>
      <c r="F105" s="10" t="s">
        <v>52</v>
      </c>
      <c r="G105" s="9" t="s">
        <v>639</v>
      </c>
      <c r="H105" s="11"/>
      <c r="I105" s="11"/>
      <c r="J105" s="11"/>
      <c r="K105" s="11"/>
      <c r="L105" s="11"/>
      <c r="M105" s="9" t="s">
        <v>640</v>
      </c>
      <c r="N105" s="12" t="s">
        <v>19</v>
      </c>
      <c r="O105" s="12" t="s">
        <v>95</v>
      </c>
      <c r="P105" s="12" t="s">
        <v>641</v>
      </c>
      <c r="Q105" s="12" t="inlineStr">
        <is>
          <t>Exclude</t>
        </is>
      </c>
      <c r="R105" s="12" t="inlineStr">
        <is>
          <t>No questionnaire/screening item</t>
        </is>
      </c>
      <c r="S105" s="12" t="inlineStr">
        <is>
          <t>Season, sunlight and depressive symptoms in VI; no vision self-report tool evaluated.</t>
        </is>
      </c>
    </row>
    <row r="106" spans="1:19" ht="90" customHeight="1" x14ac:dyDescent="0.2">
      <c r="A106" s="9">
        <v>105</v>
      </c>
      <c r="B106" s="9">
        <v>2020</v>
      </c>
      <c r="C106" s="9" t="s">
        <v>642</v>
      </c>
      <c r="D106" s="9" t="s">
        <v>643</v>
      </c>
      <c r="E106" s="9" t="s">
        <v>644</v>
      </c>
      <c r="F106" s="10" t="s">
        <v>52</v>
      </c>
      <c r="G106" s="9" t="s">
        <v>645</v>
      </c>
      <c r="H106" s="11"/>
      <c r="I106" s="11"/>
      <c r="J106" s="11"/>
      <c r="K106" s="11"/>
      <c r="L106" s="11"/>
      <c r="M106" s="9" t="s">
        <v>646</v>
      </c>
      <c r="N106" s="12" t="s">
        <v>17</v>
      </c>
      <c r="O106" s="12"/>
      <c r="P106" s="12" t="s">
        <v>647</v>
      </c>
      <c r="Q106" s="12" t="inlineStr">
        <is>
          <t>Include</t>
        </is>
      </c>
      <c r="R106" s="12"/>
      <c r="S106" s="12" t="inlineStr">
        <is>
          <t>Validation of the Italian VA LV VFQ-48 in LVR patients, with reliability and correlation with VA and reading.</t>
        </is>
      </c>
    </row>
    <row r="107" spans="1:19" ht="90" customHeight="1" x14ac:dyDescent="0.2">
      <c r="A107" s="9">
        <v>106</v>
      </c>
      <c r="B107" s="9">
        <v>2014</v>
      </c>
      <c r="C107" s="9" t="s">
        <v>648</v>
      </c>
      <c r="D107" s="9" t="s">
        <v>649</v>
      </c>
      <c r="E107" s="9" t="s">
        <v>216</v>
      </c>
      <c r="F107" s="10" t="s">
        <v>52</v>
      </c>
      <c r="G107" s="9" t="s">
        <v>650</v>
      </c>
      <c r="H107" s="11"/>
      <c r="I107" s="11"/>
      <c r="J107" s="11"/>
      <c r="K107" s="11"/>
      <c r="L107" s="11"/>
      <c r="M107" s="9" t="s">
        <v>651</v>
      </c>
      <c r="N107" s="12" t="s">
        <v>19</v>
      </c>
      <c r="O107" s="12" t="s">
        <v>62</v>
      </c>
      <c r="P107" s="12" t="s">
        <v>652</v>
      </c>
      <c r="Q107" s="12" t="inlineStr">
        <is>
          <t>Exclude</t>
        </is>
      </c>
      <c r="R107" s="12" t="inlineStr">
        <is>
          <t>No accuracy/validation data</t>
        </is>
      </c>
      <c r="S107" s="12" t="inlineStr">
        <is>
          <t>Gaze perception task study; brief questionnaire used as a predictor, not validated.</t>
        </is>
      </c>
    </row>
    <row r="108" spans="1:19" ht="90" customHeight="1" x14ac:dyDescent="0.2">
      <c r="A108" s="9">
        <v>107</v>
      </c>
      <c r="B108" s="9">
        <v>2012</v>
      </c>
      <c r="C108" s="9" t="s">
        <v>653</v>
      </c>
      <c r="D108" s="9" t="s">
        <v>654</v>
      </c>
      <c r="E108" s="9" t="s">
        <v>59</v>
      </c>
      <c r="F108" s="10" t="s">
        <v>52</v>
      </c>
      <c r="G108" s="9" t="s">
        <v>655</v>
      </c>
      <c r="H108" s="11"/>
      <c r="I108" s="11"/>
      <c r="J108" s="11"/>
      <c r="K108" s="11"/>
      <c r="L108" s="11"/>
      <c r="M108" s="9" t="s">
        <v>656</v>
      </c>
      <c r="N108" s="12" t="s">
        <v>19</v>
      </c>
      <c r="O108" s="12" t="s">
        <v>62</v>
      </c>
      <c r="P108" s="12" t="s">
        <v>657</v>
      </c>
      <c r="Q108" s="12" t="inlineStr">
        <is>
          <t>Exclude</t>
        </is>
      </c>
      <c r="R108" s="12" t="inlineStr">
        <is>
          <t>No accuracy/validation data</t>
        </is>
      </c>
      <c r="S108" s="12" t="inlineStr">
        <is>
          <t>Determinants-of-QoL regression in LV clinic patients; questionnaires used as outcomes, not validated or tested for accuracy.</t>
        </is>
      </c>
    </row>
    <row r="109" spans="1:19" ht="90" customHeight="1" x14ac:dyDescent="0.2">
      <c r="A109" s="9">
        <v>108</v>
      </c>
      <c r="B109" s="9">
        <v>2002</v>
      </c>
      <c r="C109" s="9" t="s">
        <v>658</v>
      </c>
      <c r="D109" s="9" t="s">
        <v>659</v>
      </c>
      <c r="E109" s="9" t="s">
        <v>59</v>
      </c>
      <c r="F109" s="9" t="s">
        <v>129</v>
      </c>
      <c r="G109" s="9" t="s">
        <v>660</v>
      </c>
      <c r="H109" s="11"/>
      <c r="I109" s="11"/>
      <c r="J109" s="11"/>
      <c r="K109" s="11"/>
      <c r="L109" s="11"/>
      <c r="M109" s="9" t="s">
        <v>661</v>
      </c>
      <c r="N109" s="12" t="s">
        <v>76</v>
      </c>
      <c r="O109" s="12"/>
      <c r="P109" s="12" t="s">
        <v>662</v>
      </c>
      <c r="Q109" s="12" t="inlineStr">
        <is>
          <t>Maybe</t>
        </is>
      </c>
      <c r="R109" s="12"/>
      <c r="S109" s="12" t="inlineStr">
        <is>
          <t>Population study relating NEI VFQ-25 scores to measured acuity and eye disease incl. glaucoma; may give known-groups validity data for a full-length questionnaire.</t>
        </is>
      </c>
    </row>
    <row r="110" spans="1:19" ht="90" customHeight="1" x14ac:dyDescent="0.2">
      <c r="A110" s="9">
        <v>109</v>
      </c>
      <c r="B110" s="9">
        <v>2021</v>
      </c>
      <c r="C110" s="9" t="s">
        <v>663</v>
      </c>
      <c r="D110" s="9" t="s">
        <v>664</v>
      </c>
      <c r="E110" s="9" t="s">
        <v>665</v>
      </c>
      <c r="F110" s="10" t="s">
        <v>52</v>
      </c>
      <c r="G110" s="9" t="s">
        <v>666</v>
      </c>
      <c r="H110" s="11"/>
      <c r="I110" s="11"/>
      <c r="J110" s="11"/>
      <c r="K110" s="11"/>
      <c r="L110" s="11"/>
      <c r="M110" s="9" t="s">
        <v>667</v>
      </c>
      <c r="N110" s="12" t="s">
        <v>19</v>
      </c>
      <c r="O110" s="12" t="s">
        <v>95</v>
      </c>
      <c r="P110" s="12" t="s">
        <v>668</v>
      </c>
      <c r="Q110" s="12" t="inlineStr">
        <is>
          <t>Exclude</t>
        </is>
      </c>
      <c r="R110" s="12" t="inlineStr">
        <is>
          <t>No questionnaire/screening item</t>
        </is>
      </c>
      <c r="S110" s="12" t="inlineStr">
        <is>
          <t>Work ability and psychosocial work questionnaires in low vision; no vision self-report tool evaluated.</t>
        </is>
      </c>
    </row>
    <row r="111" spans="1:19" ht="90" customHeight="1" x14ac:dyDescent="0.2">
      <c r="A111" s="9">
        <v>110</v>
      </c>
      <c r="B111" s="9">
        <v>2003</v>
      </c>
      <c r="C111" s="9" t="s">
        <v>669</v>
      </c>
      <c r="D111" s="9" t="s">
        <v>670</v>
      </c>
      <c r="E111" s="9" t="s">
        <v>182</v>
      </c>
      <c r="F111" s="10" t="s">
        <v>52</v>
      </c>
      <c r="G111" s="9" t="s">
        <v>671</v>
      </c>
      <c r="H111" s="11"/>
      <c r="I111" s="11"/>
      <c r="J111" s="11"/>
      <c r="K111" s="11"/>
      <c r="L111" s="11"/>
      <c r="M111" s="9" t="s">
        <v>672</v>
      </c>
      <c r="N111" s="12" t="s">
        <v>17</v>
      </c>
      <c r="O111" s="12"/>
      <c r="P111" s="12" t="s">
        <v>673</v>
      </c>
      <c r="Q111" s="12" t="inlineStr">
        <is>
          <t>Include</t>
        </is>
      </c>
      <c r="R111" s="12"/>
      <c r="S111" s="12" t="inlineStr">
        <is>
          <t>Glaucoma patients' visual disability questionnaire correlated against Humphrey VF and VA (glaucoma PROM vs measured vision).</t>
        </is>
      </c>
    </row>
    <row r="112" spans="1:19" ht="90" customHeight="1" x14ac:dyDescent="0.2">
      <c r="A112" s="9">
        <v>111</v>
      </c>
      <c r="B112" s="9">
        <v>2010</v>
      </c>
      <c r="C112" s="9" t="s">
        <v>674</v>
      </c>
      <c r="D112" s="9" t="s">
        <v>675</v>
      </c>
      <c r="E112" s="9" t="s">
        <v>676</v>
      </c>
      <c r="F112" s="10" t="s">
        <v>52</v>
      </c>
      <c r="G112" s="9" t="s">
        <v>677</v>
      </c>
      <c r="H112" s="11"/>
      <c r="I112" s="11"/>
      <c r="J112" s="11"/>
      <c r="K112" s="11"/>
      <c r="L112" s="11"/>
      <c r="M112" s="9" t="s">
        <v>678</v>
      </c>
      <c r="N112" s="12" t="s">
        <v>19</v>
      </c>
      <c r="O112" s="12" t="s">
        <v>62</v>
      </c>
      <c r="P112" s="12" t="s">
        <v>679</v>
      </c>
      <c r="Q112" s="12" t="inlineStr">
        <is>
          <t>Exclude</t>
        </is>
      </c>
      <c r="R112" s="12" t="inlineStr">
        <is>
          <t>No questionnaire/screening item</t>
        </is>
      </c>
      <c r="S112" s="12" t="inlineStr">
        <is>
          <t>Falls vs visual function in low vision; ADL questionnaire only a covariate, not evaluated.</t>
        </is>
      </c>
    </row>
    <row r="113" spans="1:19" ht="90" customHeight="1" x14ac:dyDescent="0.2">
      <c r="A113" s="9">
        <v>112</v>
      </c>
      <c r="B113" s="9">
        <v>2012</v>
      </c>
      <c r="C113" s="9" t="s">
        <v>680</v>
      </c>
      <c r="D113" s="9" t="s">
        <v>681</v>
      </c>
      <c r="E113" s="9" t="s">
        <v>682</v>
      </c>
      <c r="F113" s="10" t="s">
        <v>52</v>
      </c>
      <c r="G113" s="9" t="s">
        <v>683</v>
      </c>
      <c r="H113" s="11"/>
      <c r="I113" s="11"/>
      <c r="J113" s="11"/>
      <c r="K113" s="11"/>
      <c r="L113" s="11"/>
      <c r="M113" s="9" t="s">
        <v>684</v>
      </c>
      <c r="N113" s="12" t="s">
        <v>17</v>
      </c>
      <c r="O113" s="12"/>
      <c r="P113" s="12" t="s">
        <v>685</v>
      </c>
      <c r="Q113" s="12" t="inlineStr">
        <is>
          <t>Include</t>
        </is>
      </c>
      <c r="R113" s="12"/>
      <c r="S113" s="12" t="inlineStr">
        <is>
          <t>Adults &gt;50 in primary care; compares time to administer the Functional Vision Screening Questionnaire with chart tests (feasibility outcome in PICO).</t>
        </is>
      </c>
    </row>
    <row r="114" spans="1:19" ht="90" customHeight="1" x14ac:dyDescent="0.2">
      <c r="A114" s="9">
        <v>113</v>
      </c>
      <c r="B114" s="9">
        <v>2019</v>
      </c>
      <c r="C114" s="9" t="s">
        <v>686</v>
      </c>
      <c r="D114" s="9" t="s">
        <v>687</v>
      </c>
      <c r="E114" s="9" t="s">
        <v>233</v>
      </c>
      <c r="F114" s="10" t="s">
        <v>52</v>
      </c>
      <c r="G114" s="9" t="s">
        <v>688</v>
      </c>
      <c r="H114" s="11"/>
      <c r="I114" s="11"/>
      <c r="J114" s="11"/>
      <c r="K114" s="11"/>
      <c r="L114" s="11"/>
      <c r="M114" s="9" t="s">
        <v>689</v>
      </c>
      <c r="N114" s="12" t="s">
        <v>19</v>
      </c>
      <c r="O114" s="12" t="s">
        <v>47</v>
      </c>
      <c r="P114" s="12" t="s">
        <v>690</v>
      </c>
      <c r="Q114" s="12" t="inlineStr">
        <is>
          <t>Exclude</t>
        </is>
      </c>
      <c r="R114" s="12" t="inlineStr">
        <is>
          <t>Wrong population (not adults)</t>
        </is>
      </c>
      <c r="S114" s="12" t="inlineStr">
        <is>
          <t>Parent-reported CVI screening questionnaires in children.</t>
        </is>
      </c>
    </row>
    <row r="115" spans="1:19" ht="90" customHeight="1" x14ac:dyDescent="0.2">
      <c r="A115" s="9">
        <v>114</v>
      </c>
      <c r="B115" s="9">
        <v>2026</v>
      </c>
      <c r="C115" s="9" t="s">
        <v>691</v>
      </c>
      <c r="D115" s="9" t="s">
        <v>692</v>
      </c>
      <c r="E115" s="9" t="s">
        <v>693</v>
      </c>
      <c r="F115" s="10" t="s">
        <v>52</v>
      </c>
      <c r="G115" s="13" t="s">
        <v>694</v>
      </c>
      <c r="H115" s="11"/>
      <c r="I115" s="11"/>
      <c r="J115" s="11"/>
      <c r="K115" s="11"/>
      <c r="L115" s="11"/>
      <c r="M115" s="9" t="s">
        <v>695</v>
      </c>
      <c r="N115" s="12" t="s">
        <v>19</v>
      </c>
      <c r="O115" s="12" t="s">
        <v>696</v>
      </c>
      <c r="P115" s="12" t="s">
        <v>697</v>
      </c>
      <c r="Q115" s="12" t="inlineStr">
        <is>
          <t>Include</t>
        </is>
      </c>
      <c r="R115" s="12"/>
      <c r="S115" s="12" t="inlineStr">
        <is>
          <t>Psychometric validation (reliability, known-groups by VA) of Thai vision bolt-on EQ-5D in visually impaired participants.</t>
        </is>
      </c>
    </row>
    <row r="116" spans="1:19" ht="90" customHeight="1" x14ac:dyDescent="0.2">
      <c r="A116" s="9">
        <v>115</v>
      </c>
      <c r="B116" s="9">
        <v>2019</v>
      </c>
      <c r="C116" s="9" t="s">
        <v>698</v>
      </c>
      <c r="D116" s="9" t="s">
        <v>699</v>
      </c>
      <c r="E116" s="9" t="s">
        <v>700</v>
      </c>
      <c r="F116" s="10" t="s">
        <v>52</v>
      </c>
      <c r="G116" s="9" t="s">
        <v>701</v>
      </c>
      <c r="H116" s="11"/>
      <c r="I116" s="11"/>
      <c r="J116" s="11"/>
      <c r="K116" s="11"/>
      <c r="L116" s="11"/>
      <c r="M116" s="9" t="s">
        <v>702</v>
      </c>
      <c r="N116" s="12" t="s">
        <v>19</v>
      </c>
      <c r="O116" s="12" t="s">
        <v>62</v>
      </c>
      <c r="P116" s="12" t="s">
        <v>703</v>
      </c>
      <c r="Q116" s="12" t="inlineStr">
        <is>
          <t>Exclude</t>
        </is>
      </c>
      <c r="R116" s="12" t="inlineStr">
        <is>
          <t>No accuracy/validation data</t>
        </is>
      </c>
      <c r="S116" s="12" t="inlineStr">
        <is>
          <t>Translation and cultural adaptation of LVQOL only; psychometric validation deferred to a later study.</t>
        </is>
      </c>
    </row>
    <row r="117" spans="1:19" ht="90" customHeight="1" x14ac:dyDescent="0.2">
      <c r="A117" s="9">
        <v>116</v>
      </c>
      <c r="B117" s="9">
        <v>2025</v>
      </c>
      <c r="C117" s="9" t="s">
        <v>704</v>
      </c>
      <c r="D117" s="9" t="s">
        <v>705</v>
      </c>
      <c r="E117" s="9" t="s">
        <v>706</v>
      </c>
      <c r="F117" s="10" t="s">
        <v>52</v>
      </c>
      <c r="G117" s="13" t="s">
        <v>707</v>
      </c>
      <c r="H117" s="11"/>
      <c r="I117" s="11"/>
      <c r="J117" s="11"/>
      <c r="K117" s="11"/>
      <c r="L117" s="11"/>
      <c r="M117" s="9" t="s">
        <v>708</v>
      </c>
      <c r="N117" s="12" t="s">
        <v>19</v>
      </c>
      <c r="O117" s="12" t="s">
        <v>95</v>
      </c>
      <c r="P117" s="12" t="s">
        <v>709</v>
      </c>
      <c r="Q117" s="12" t="inlineStr">
        <is>
          <t>Exclude</t>
        </is>
      </c>
      <c r="R117" s="12" t="inlineStr">
        <is>
          <t>No questionnaire/screening item</t>
        </is>
      </c>
      <c r="S117" s="12" t="inlineStr">
        <is>
          <t>Cohort study of measured VA and mortality; no self-report tool.</t>
        </is>
      </c>
    </row>
    <row r="118" spans="1:19" ht="90" customHeight="1" x14ac:dyDescent="0.2">
      <c r="A118" s="9">
        <v>117</v>
      </c>
      <c r="B118" s="9">
        <v>2024</v>
      </c>
      <c r="C118" s="9" t="s">
        <v>710</v>
      </c>
      <c r="D118" s="9" t="s">
        <v>711</v>
      </c>
      <c r="E118" s="9" t="s">
        <v>256</v>
      </c>
      <c r="F118" s="10" t="s">
        <v>52</v>
      </c>
      <c r="G118" s="9" t="s">
        <v>712</v>
      </c>
      <c r="H118" s="11"/>
      <c r="I118" s="11"/>
      <c r="J118" s="11"/>
      <c r="K118" s="11"/>
      <c r="L118" s="11"/>
      <c r="M118" s="9" t="s">
        <v>713</v>
      </c>
      <c r="N118" s="12" t="s">
        <v>76</v>
      </c>
      <c r="O118" s="12"/>
      <c r="P118" s="12" t="s">
        <v>714</v>
      </c>
      <c r="Q118" s="12" t="inlineStr">
        <is>
          <t>Exclude</t>
        </is>
      </c>
      <c r="R118" s="12" t="inlineStr">
        <is>
          <t>Not about low vision/visual function</t>
        </is>
      </c>
      <c r="S118" s="12" t="inlineStr">
        <is>
          <t>Symptom questionnaire to differentiate dry eye from other diagnoses; not judged against vision impairment or LVR need.</t>
        </is>
      </c>
    </row>
    <row r="119" spans="1:19" ht="90" customHeight="1" x14ac:dyDescent="0.2">
      <c r="A119" s="9">
        <v>118</v>
      </c>
      <c r="B119" s="9">
        <v>2023</v>
      </c>
      <c r="C119" s="9" t="s">
        <v>715</v>
      </c>
      <c r="D119" s="9" t="s">
        <v>716</v>
      </c>
      <c r="E119" s="9" t="s">
        <v>354</v>
      </c>
      <c r="F119" s="10" t="s">
        <v>52</v>
      </c>
      <c r="G119" s="9" t="s">
        <v>717</v>
      </c>
      <c r="H119" s="11"/>
      <c r="I119" s="11"/>
      <c r="J119" s="11"/>
      <c r="K119" s="11"/>
      <c r="L119" s="11"/>
      <c r="M119" s="9" t="s">
        <v>718</v>
      </c>
      <c r="N119" s="12" t="s">
        <v>19</v>
      </c>
      <c r="O119" s="12" t="s">
        <v>47</v>
      </c>
      <c r="P119" s="12" t="s">
        <v>719</v>
      </c>
      <c r="Q119" s="12" t="inlineStr">
        <is>
          <t>Exclude</t>
        </is>
      </c>
      <c r="R119" s="12" t="inlineStr">
        <is>
          <t>Wrong population (not adults)</t>
        </is>
      </c>
      <c r="S119" s="12" t="inlineStr">
        <is>
          <t>Validation of an iPad CVI screening app in children aged 5-18.</t>
        </is>
      </c>
    </row>
    <row r="120" spans="1:19" ht="90" customHeight="1" x14ac:dyDescent="0.2">
      <c r="A120" s="9">
        <v>119</v>
      </c>
      <c r="B120" s="9">
        <v>2022</v>
      </c>
      <c r="C120" s="9" t="s">
        <v>720</v>
      </c>
      <c r="D120" s="9" t="s">
        <v>721</v>
      </c>
      <c r="E120" s="9" t="s">
        <v>722</v>
      </c>
      <c r="F120" s="10" t="s">
        <v>52</v>
      </c>
      <c r="G120" s="9" t="s">
        <v>723</v>
      </c>
      <c r="H120" s="11"/>
      <c r="I120" s="11"/>
      <c r="J120" s="11"/>
      <c r="K120" s="11"/>
      <c r="L120" s="11"/>
      <c r="M120" s="9" t="s">
        <v>724</v>
      </c>
      <c r="N120" s="12" t="s">
        <v>17</v>
      </c>
      <c r="O120" s="12"/>
      <c r="P120" s="12" t="s">
        <v>725</v>
      </c>
      <c r="Q120" s="12" t="inlineStr">
        <is>
          <t>Include</t>
        </is>
      </c>
      <c r="R120" s="12"/>
      <c r="S120" s="12" t="inlineStr">
        <is>
          <t>Validation of Spanish LVQOL with reliability, IRT and sensitivity/specificity cut-off for detecting visual impairment.</t>
        </is>
      </c>
    </row>
    <row r="121" spans="1:19" ht="90" customHeight="1" x14ac:dyDescent="0.2">
      <c r="A121" s="9">
        <v>120</v>
      </c>
      <c r="B121" s="9">
        <v>2007</v>
      </c>
      <c r="C121" s="9" t="s">
        <v>726</v>
      </c>
      <c r="D121" s="9" t="s">
        <v>727</v>
      </c>
      <c r="E121" s="9" t="s">
        <v>728</v>
      </c>
      <c r="F121" s="10" t="s">
        <v>52</v>
      </c>
      <c r="G121" s="13" t="s">
        <v>729</v>
      </c>
      <c r="H121" s="11"/>
      <c r="I121" s="11"/>
      <c r="J121" s="11"/>
      <c r="K121" s="11"/>
      <c r="L121" s="11"/>
      <c r="M121" s="9" t="s">
        <v>730</v>
      </c>
      <c r="N121" s="12" t="s">
        <v>17</v>
      </c>
      <c r="O121" s="12"/>
      <c r="P121" s="12" t="s">
        <v>731</v>
      </c>
      <c r="Q121" s="12" t="inlineStr">
        <is>
          <t>Include</t>
        </is>
      </c>
      <c r="R121" s="12"/>
      <c r="S121" s="12" t="inlineStr">
        <is>
          <t>Self-reported mobility questionnaire validated against VA, CS and VF in low vision patients, proposed as guide for O&amp;M referral.</t>
        </is>
      </c>
    </row>
    <row r="122" spans="1:19" ht="90" customHeight="1" x14ac:dyDescent="0.2">
      <c r="A122" s="9">
        <v>121</v>
      </c>
      <c r="B122" s="9">
        <v>2005</v>
      </c>
      <c r="C122" s="9" t="s">
        <v>732</v>
      </c>
      <c r="D122" s="9" t="s">
        <v>733</v>
      </c>
      <c r="E122" s="9" t="s">
        <v>734</v>
      </c>
      <c r="F122" s="10" t="s">
        <v>52</v>
      </c>
      <c r="G122" s="9" t="s">
        <v>735</v>
      </c>
      <c r="H122" s="11"/>
      <c r="I122" s="11"/>
      <c r="J122" s="11"/>
      <c r="K122" s="11"/>
      <c r="L122" s="11"/>
      <c r="M122" s="9" t="s">
        <v>736</v>
      </c>
      <c r="N122" s="12" t="s">
        <v>76</v>
      </c>
      <c r="O122" s="12"/>
      <c r="P122" s="12" t="s">
        <v>737</v>
      </c>
      <c r="Q122" s="12" t="inlineStr">
        <is>
          <t>Maybe</t>
        </is>
      </c>
      <c r="R122" s="12"/>
      <c r="S122" s="12" t="inlineStr">
        <is>
          <t>Visual difficulty questionnaire with factor and discriminant analysis between low-vision and nonimpaired older drivers; unclear if accuracy data reported.</t>
        </is>
      </c>
    </row>
    <row r="123" spans="1:19" ht="90" customHeight="1" x14ac:dyDescent="0.2">
      <c r="A123" s="9">
        <v>122</v>
      </c>
      <c r="B123" s="9">
        <v>2020</v>
      </c>
      <c r="C123" s="9" t="s">
        <v>738</v>
      </c>
      <c r="D123" s="9" t="s">
        <v>739</v>
      </c>
      <c r="E123" s="9" t="s">
        <v>740</v>
      </c>
      <c r="F123" s="10" t="s">
        <v>52</v>
      </c>
      <c r="G123" s="9" t="s">
        <v>741</v>
      </c>
      <c r="H123" s="11"/>
      <c r="I123" s="11"/>
      <c r="J123" s="11"/>
      <c r="K123" s="11"/>
      <c r="L123" s="11"/>
      <c r="M123" s="9" t="s">
        <v>742</v>
      </c>
      <c r="N123" s="12" t="s">
        <v>17</v>
      </c>
      <c r="O123" s="12"/>
      <c r="P123" s="12" t="s">
        <v>743</v>
      </c>
      <c r="Q123" s="12" t="inlineStr">
        <is>
          <t>Include</t>
        </is>
      </c>
      <c r="R123" s="12"/>
      <c r="S123" s="12" t="inlineStr">
        <is>
          <t>LVQOL in advanced glaucoma with low vision related to VA, MD and edge detection with AUROC analysis (glaucoma PROM study).</t>
        </is>
      </c>
    </row>
    <row r="124" spans="1:19" ht="90" customHeight="1" x14ac:dyDescent="0.2">
      <c r="A124" s="9">
        <v>123</v>
      </c>
      <c r="B124" s="9">
        <v>2008</v>
      </c>
      <c r="C124" s="9" t="s">
        <v>744</v>
      </c>
      <c r="D124" s="9" t="s">
        <v>745</v>
      </c>
      <c r="E124" s="9" t="s">
        <v>216</v>
      </c>
      <c r="F124" s="10" t="s">
        <v>52</v>
      </c>
      <c r="G124" s="9" t="s">
        <v>746</v>
      </c>
      <c r="H124" s="11"/>
      <c r="I124" s="11"/>
      <c r="J124" s="11"/>
      <c r="K124" s="11"/>
      <c r="L124" s="11"/>
      <c r="M124" s="9" t="s">
        <v>747</v>
      </c>
      <c r="N124" s="12" t="s">
        <v>19</v>
      </c>
      <c r="O124" s="12" t="s">
        <v>24</v>
      </c>
      <c r="P124" s="12" t="s">
        <v>748</v>
      </c>
      <c r="Q124" s="12" t="inlineStr">
        <is>
          <t>Exclude</t>
        </is>
      </c>
      <c r="R124" s="12" t="inlineStr">
        <is>
          <t>No questionnaire/screening item</t>
        </is>
      </c>
      <c r="S124" s="12" t="inlineStr">
        <is>
          <t>Postural sway vs visual field loss in glaucoma; no self-report vision tool evaluated.</t>
        </is>
      </c>
    </row>
    <row r="125" spans="1:19" ht="90" customHeight="1" x14ac:dyDescent="0.2">
      <c r="A125" s="9">
        <v>124</v>
      </c>
      <c r="B125" s="9">
        <v>2025</v>
      </c>
      <c r="C125" s="9" t="s">
        <v>749</v>
      </c>
      <c r="D125" s="9" t="s">
        <v>750</v>
      </c>
      <c r="E125" s="9" t="s">
        <v>476</v>
      </c>
      <c r="F125" s="10" t="s">
        <v>52</v>
      </c>
      <c r="G125" s="9" t="s">
        <v>751</v>
      </c>
      <c r="H125" s="11"/>
      <c r="I125" s="11"/>
      <c r="J125" s="11"/>
      <c r="K125" s="11"/>
      <c r="L125" s="11"/>
      <c r="M125" s="9" t="s">
        <v>752</v>
      </c>
      <c r="N125" s="12" t="s">
        <v>19</v>
      </c>
      <c r="O125" s="12" t="s">
        <v>62</v>
      </c>
      <c r="P125" s="12" t="s">
        <v>753</v>
      </c>
      <c r="Q125" s="12" t="inlineStr">
        <is>
          <t>Exclude</t>
        </is>
      </c>
      <c r="R125" s="12" t="inlineStr">
        <is>
          <t>No accuracy/validation data</t>
        </is>
      </c>
      <c r="S125" s="12" t="inlineStr">
        <is>
          <t>Self-reported VFQ used only as a predictor of physical performance decline; not validated against vision measures.</t>
        </is>
      </c>
    </row>
    <row r="126" spans="1:19" ht="90" customHeight="1" x14ac:dyDescent="0.2">
      <c r="A126" s="9">
        <v>125</v>
      </c>
      <c r="B126" s="9">
        <v>2025</v>
      </c>
      <c r="C126" s="9" t="s">
        <v>754</v>
      </c>
      <c r="D126" s="9" t="s">
        <v>755</v>
      </c>
      <c r="E126" s="9" t="s">
        <v>756</v>
      </c>
      <c r="F126" s="10" t="s">
        <v>52</v>
      </c>
      <c r="G126" s="9" t="s">
        <v>757</v>
      </c>
      <c r="H126" s="11"/>
      <c r="I126" s="11"/>
      <c r="J126" s="11"/>
      <c r="K126" s="11"/>
      <c r="L126" s="11"/>
      <c r="M126" s="9" t="s">
        <v>758</v>
      </c>
      <c r="N126" s="12" t="s">
        <v>19</v>
      </c>
      <c r="O126" s="12" t="s">
        <v>95</v>
      </c>
      <c r="P126" s="12" t="s">
        <v>759</v>
      </c>
      <c r="Q126" s="12" t="inlineStr">
        <is>
          <t>Exclude</t>
        </is>
      </c>
      <c r="R126" s="12" t="inlineStr">
        <is>
          <t>No accuracy/validation data</t>
        </is>
      </c>
      <c r="S126" s="12" t="inlineStr">
        <is>
          <t>Self-reported visual difficulty used as an exposure for sleep outcomes; no accuracy or validation of the item.</t>
        </is>
      </c>
    </row>
    <row r="127" spans="1:19" ht="90" customHeight="1" x14ac:dyDescent="0.2">
      <c r="A127" s="9">
        <v>126</v>
      </c>
      <c r="B127" s="9">
        <v>2014</v>
      </c>
      <c r="C127" s="9" t="s">
        <v>760</v>
      </c>
      <c r="D127" s="9" t="s">
        <v>761</v>
      </c>
      <c r="E127" s="9" t="s">
        <v>59</v>
      </c>
      <c r="F127" s="10" t="s">
        <v>52</v>
      </c>
      <c r="G127" s="9" t="s">
        <v>762</v>
      </c>
      <c r="H127" s="11"/>
      <c r="I127" s="11"/>
      <c r="J127" s="11"/>
      <c r="K127" s="11"/>
      <c r="L127" s="11"/>
      <c r="M127" s="9" t="s">
        <v>763</v>
      </c>
      <c r="N127" s="12" t="s">
        <v>19</v>
      </c>
      <c r="O127" s="12" t="s">
        <v>62</v>
      </c>
      <c r="P127" s="12" t="s">
        <v>764</v>
      </c>
      <c r="Q127" s="12" t="inlineStr">
        <is>
          <t>Exclude</t>
        </is>
      </c>
      <c r="R127" s="12" t="inlineStr">
        <is>
          <t>Not about low vision/visual function</t>
        </is>
      </c>
      <c r="S127" s="12" t="inlineStr">
        <is>
          <t>Self-assessed driving skill vs on-road evaluation in bioptic drivers; not a vision/LVR-need screening tool.</t>
        </is>
      </c>
    </row>
    <row r="128" spans="1:19" ht="90" customHeight="1" x14ac:dyDescent="0.2">
      <c r="A128" s="9">
        <v>127</v>
      </c>
      <c r="B128" s="9">
        <v>2003</v>
      </c>
      <c r="C128" s="9" t="s">
        <v>765</v>
      </c>
      <c r="D128" s="9" t="s">
        <v>766</v>
      </c>
      <c r="E128" s="9" t="s">
        <v>767</v>
      </c>
      <c r="F128" s="9" t="s">
        <v>129</v>
      </c>
      <c r="G128" s="9" t="s">
        <v>768</v>
      </c>
      <c r="H128" s="11"/>
      <c r="I128" s="11"/>
      <c r="J128" s="11"/>
      <c r="K128" s="11"/>
      <c r="L128" s="11"/>
      <c r="M128" s="9" t="s">
        <v>769</v>
      </c>
      <c r="N128" s="12" t="s">
        <v>19</v>
      </c>
      <c r="O128" s="12" t="s">
        <v>62</v>
      </c>
      <c r="P128" s="12" t="s">
        <v>770</v>
      </c>
      <c r="Q128" s="12" t="inlineStr">
        <is>
          <t>Exclude</t>
        </is>
      </c>
      <c r="R128" s="12" t="inlineStr">
        <is>
          <t>No questionnaire/screening item</t>
        </is>
      </c>
      <c r="S128" s="12" t="inlineStr">
        <is>
          <t>Survey of orthoptists' LVR practice for AMD in France; no patient self-report tool or referral guideline.</t>
        </is>
      </c>
    </row>
    <row r="129" spans="1:19" ht="90" customHeight="1" x14ac:dyDescent="0.2">
      <c r="A129" s="9">
        <v>128</v>
      </c>
      <c r="B129" s="9">
        <v>2024</v>
      </c>
      <c r="C129" s="9" t="inlineStr">
        <is>
          <t>Wu, Yueh-Hsun et al.</t>
        </is>
      </c>
      <c r="D129" s="9" t="inlineStr">
        <is>
          <t>Estimating Visual Acuity Without a Visual Acuity Chart.</t>
        </is>
      </c>
      <c r="E129" s="9" t="inlineStr">
        <is>
          <t>Translational vision science &amp; technology</t>
        </is>
      </c>
      <c r="F129" s="10" t="s">
        <v>44</v>
      </c>
      <c r="G129" s="9" t="inlineStr">
        <is>
          <t>PURPOSE: This study explored whether visual acuity (VA) can be inferred from self-reported ability to recognize everyday objects using a set of yes/no questions. METHODS: Participants answered 100 yes/no questions designed to assess their ability to recognize familiar objects at typical viewing distances, such as distinguishing between a full moon and a half moon on a clear night. The questions demanded VA ranging from normal to severe vision impairment. Responses were analyzed using item response theory, and the results were compared with participants' VA values. RESULTS: We recruited 385 participants from 4 sites in the United States. Participants had a mean age of 56.7 years with VA ranging from -0.3 to 2.0 logarithm of the minimum angle of resolution (logMAR) (mean = 0.58). A strong relationship was observed between participants' estimated vision ability and their VA (r = -0.72). The linear relationship can be used to predict each participant's VA based on their estimated vision ability. The average signed and unsigned prediction errors were 0 and 0.24 logMAR, respectively, with a coefficient of repeatability of 0.59 logMAR between the estimated VA and measured VA. The same linear function was used to determine the VA limit required for each question. For instance, the VA limit for the moon question was 1.0 logMAR. CONCLUSIONS: Yes/no questions about everyday visual activities have the potential to estimate an individual's VA. Future refinements may enhance reliability. TRANSLATIONAL RELEVANCE: The survey provides insights into the real-world visual capabilities of people with low vision, making it potentially useful for telehealth applications.</t>
        </is>
      </c>
      <c r="H129" s="11"/>
      <c r="I129" s="11"/>
      <c r="J129" s="11"/>
      <c r="K129" s="11"/>
      <c r="L129" s="11"/>
      <c r="M129" s="9"/>
      <c r="N129" s="12"/>
      <c r="O129" s="12"/>
      <c r="P129" s="12"/>
      <c r="Q129" s="12"/>
      <c r="R129" s="12"/>
      <c r="S129" s="12"/>
    </row>
    <row r="130" spans="1:19" ht="90" customHeight="1" x14ac:dyDescent="0.2">
      <c r="A130" s="9">
        <v>129</v>
      </c>
      <c r="B130" s="9">
        <v>2023</v>
      </c>
      <c r="C130" s="9" t="inlineStr">
        <is>
          <t>Vinokurtseva, Anastasiya et al.</t>
        </is>
      </c>
      <c r="D130" s="9" t="inlineStr">
        <is>
          <t>Evaluating Measurement Properties of Patient-Reported Outcome Measures in Glaucoma: A Systematic Review.</t>
        </is>
      </c>
      <c r="E130" s="9" t="inlineStr">
        <is>
          <t>Ophthalmology. Glaucoma</t>
        </is>
      </c>
      <c r="F130" s="10" t="s">
        <v>44</v>
      </c>
      <c r="G130" s="9" t="inlineStr">
        <is>
          <t>TOPIC: The purpose of the current study was to systematically identify and evaluate existing patient-reported outcome measures (PROMs) for clinical glaucoma practice. CLINICAL RELEVANCE: Understanding and incorporating patient preferences into decision-making is now recognized as critical for optimal resource allocation, especially in technologically advancing areas, such as minimally invasive surgeries. Patient-reported outcome measures are instruments designed to evaluate the health outcomes that are most important to patients. Despite their recognized importance, especially in the era of patient-centered care, their routine use in clinical settings remains low. METHODS: A systematic literature search was conducted in 6 databases (EMBASE, MEDLINE, PsycINFO, Scopus, BIOSIS, and Web of Science) from the date of inception. Studies were included in the qualitative review if they reported measurement properties of PROMs in adult patients with glaucoma. COnsensus-based Standards for the selection of health Measurement INstruments guidelines were used to assess the included PROMs. The study protocol is registered with PROSPERO (registration number: CRD42020176064). RESULTS: The literature search yielded 2661 records. After deduplication, 1259 studies entered level 1 screening, and based on title and abstract review, 164 records proceeded to full-text screening. In 48 included studies, 70 instrument reports discuss 43 distinct instruments in 3 major categories: glaucoma-specific, vision-specific, and general health-related quality of life. Most used measures were glaucoma-specific (Glaucoma Quality of Life [GQL] and Glaucoma Symptom Scale [GSS]) and vision-specific (National Eye Institute Visual Function Questionnaire [NEI VFQ-25]). All 3 have sufficient validity (especially construct), with GQL and GSS having sufficient internal consistency, cross-cultural validity, and reliability, with reports suggesting high methodological quality. CONCLUSION: The GQL, GSS, and NEI VFQ-25 are the 3 most used questionnaires in a research setting, having considerable validation in a patient population with glaucoma. Limited reports on interpretability, responsiveness, and feasibility in all 43 identified instruments make identifying a single optimal questionnaire for clinical use challenging and highlight the need for further studies. FINANCIAL DISCLOSURE(S): Proprietary or commercial disclosure may be found in the Footnotes and Disclosures at the end of this article.</t>
        </is>
      </c>
      <c r="H130" s="11"/>
      <c r="I130" s="11"/>
      <c r="J130" s="11"/>
      <c r="K130" s="11"/>
      <c r="L130" s="11"/>
      <c r="M130" s="9"/>
      <c r="N130" s="12"/>
      <c r="O130" s="12"/>
      <c r="P130" s="12"/>
      <c r="Q130" s="12"/>
      <c r="R130" s="12"/>
      <c r="S130" s="12"/>
    </row>
    <row r="131" spans="1:19" ht="90" customHeight="1" x14ac:dyDescent="0.2">
      <c r="A131" s="9">
        <v>130</v>
      </c>
      <c r="B131" s="9">
        <v>2025</v>
      </c>
      <c r="C131" s="9" t="inlineStr">
        <is>
          <t>Ernst, Julia et al.</t>
        </is>
      </c>
      <c r="D131" s="9" t="inlineStr">
        <is>
          <t>Factors Associated with Referral to Low Vision for Patients with Advanced Glaucoma.</t>
        </is>
      </c>
      <c r="E131" s="9" t="inlineStr">
        <is>
          <t>Life (Basel, Switzerland)</t>
        </is>
      </c>
      <c r="F131" s="10" t="s">
        <v>44</v>
      </c>
      <c r="G131" s="9" t="inlineStr">
        <is>
          <t>Glaucoma is one of the most common causes of irreversible visual impairment world wide. Providing low vision rehabilitation (LVR) services is a primary mode of support for patients with permanent vision loss. This retrospective, cross-sectional study evaluated the rate at which patients with severe open-angle glaucoma (OAG) were referred for LVR services at an academic medical center. Patient demographics, glaucoma severity, appointment history, performance on visual field (VF) testing, presenting visual acuity (VA), and change in best-corrected visual acuity (BCVA) after low vision refraction were abstracted from the electronic record and summarized by using descriptive statistics. Logistic regression analysis was used to assess the relationship between study variables and the likelihood of referral for LVR evaluation. Out of 522 patients with severe OAG, 88% of whom qualified as having low vision, 14 were referred for an LVR evaluation (2.7%). Referrals were most strongly associated with VA (adjusted odds ratio [aOR], 7.20; 95% confidence interval [CI], 2.11-24.64, p = 0.001) but not glaucoma-associated VF loss (aOR, 0.90; 95% CI, 0.24-3.37, p = 0.876). Thirteen of 14 patients referred for LVR completed visits (93%). More than one-third of those patients improved in their better-seeing eye after a low vision refraction, gaining an average of -0.18 ± 0.24 logMAR (half gaining ≥2-lines of BCVA). Patients with severe OAG are at risk of progressive visual disability from their eye disease. We found, however, that the majority of these patients were not referred to LVR services, despite meeting eligibility criteria and growing evidence demonstrating their potential benefit.</t>
        </is>
      </c>
      <c r="H131" s="11"/>
      <c r="I131" s="11"/>
      <c r="J131" s="11"/>
      <c r="K131" s="11"/>
      <c r="L131" s="11"/>
      <c r="M131" s="9"/>
      <c r="N131" s="12"/>
      <c r="O131" s="12"/>
      <c r="P131" s="12"/>
      <c r="Q131" s="12"/>
      <c r="R131" s="12"/>
      <c r="S131" s="12"/>
    </row>
    <row r="132" spans="1:19" ht="90" customHeight="1" x14ac:dyDescent="0.2">
      <c r="A132" s="9">
        <v>131</v>
      </c>
      <c r="B132" s="9">
        <v>2017</v>
      </c>
      <c r="C132" s="9" t="inlineStr">
        <is>
          <t>Swenor, Bonnielin K et al.</t>
        </is>
      </c>
      <c r="D132" s="9" t="inlineStr">
        <is>
          <t>Impact of the Ability to Divide Attention on Reading Performance in Glaucoma.</t>
        </is>
      </c>
      <c r="E132" s="9" t="inlineStr">
        <is>
          <t>Investigative ophthalmology &amp; visual science</t>
        </is>
      </c>
      <c r="F132" s="10" t="s">
        <v>44</v>
      </c>
      <c r="G132" s="9" t="inlineStr">
        <is>
          <t>PURPOSE: To determine if the ability to divide attention affects the relationship between glaucoma-related vision loss and reading speed. METHODS: Better eye mean deviation (MD), contrast sensitivity (CS), and better-eye distance visual acuity (VA) were measured in 28 participants with glaucoma and 21 controls. Reading speeds were assessed using MNRead, IRest, and sustained silent reading tests (words per minute, wpm). The ability to divide attention was measured using the Brief Test of Attention (BTA; scored 0-10). Multivariable linear regression models were used to determine the relationship between visual factors and reading speeds. Effect modification by BTA score (low BTA: &lt;7; high BTA: ≥7) was examined. RESULTS: Worse CS (per 0.1 log unit) was associated with slower maximum reading speed on MNRead test for participants with low BTA scores (β = -9 wpm; 95% confidence interval [CI]: -16, -2), but not for those with high BTA scores (β = -2 wpm; 95% CI: -6, +2). Similarly, for the IRest test, worse CS was associated with slower reading speeds (β = -12 wpm; 95% CI: -20, -4) among those with low, but not high BTA scores (β = -4 wpm; 95% CI: -10, +2). For the sustained silent reading test, glaucoma status (versus controls), worse visual field (VF) MD (per 5 dB), and worse CS were associated with 39%, 21%, and 19% slower reading speeds, respectively, for those with low BTA scores (P &lt; 0.05), but these associations were not significant among those with high BTA scores (P &gt; 0.1 for all). CONCLUSIONS: Decreased ability to divide attention, indicated by lower BTA scores, is associated with slower reading speeds in glaucoma with reduced CS and VF defects.</t>
        </is>
      </c>
      <c r="H132" s="11"/>
      <c r="I132" s="11"/>
      <c r="J132" s="11"/>
      <c r="K132" s="11"/>
      <c r="L132" s="11"/>
      <c r="M132" s="9"/>
      <c r="N132" s="12"/>
      <c r="O132" s="12"/>
      <c r="P132" s="12"/>
      <c r="Q132" s="12"/>
      <c r="R132" s="12"/>
      <c r="S132" s="12"/>
    </row>
    <row r="133" spans="1:19" ht="90" customHeight="1" x14ac:dyDescent="0.2">
      <c r="A133" s="9">
        <v>132</v>
      </c>
      <c r="B133" s="9">
        <v>2022</v>
      </c>
      <c r="C133" s="9" t="inlineStr">
        <is>
          <t>Healthwise Staff</t>
        </is>
      </c>
      <c r="D133" s="9" t="inlineStr">
        <is>
          <t>Legal blindness</t>
        </is>
      </c>
      <c r="E133" s="9" t="inlineStr">
        <is>
          <t>HealthLink BC (website)</t>
        </is>
      </c>
      <c r="F133" s="9" t="s">
        <v>129</v>
      </c>
      <c r="G133" s="9" t="inlineStr">
        <is>
          <t>Missing</t>
        </is>
      </c>
      <c r="H133" s="11"/>
      <c r="I133" s="11"/>
      <c r="J133" s="11"/>
      <c r="K133" s="11"/>
      <c r="L133" s="11"/>
      <c r="M133" s="9"/>
      <c r="N133" s="12"/>
      <c r="O133" s="12"/>
      <c r="P133" s="12"/>
      <c r="Q133" s="12"/>
      <c r="R133" s="12"/>
      <c r="S133" s="12"/>
    </row>
    <row r="134" spans="1:19" ht="90" customHeight="1" x14ac:dyDescent="0.2">
      <c r="A134" s="9">
        <v>133</v>
      </c>
      <c r="B134" s="9">
        <v>2014</v>
      </c>
      <c r="C134" s="9" t="inlineStr">
        <is>
          <t>Nguyen, Angeline M et al.</t>
        </is>
      </c>
      <c r="D134" s="9" t="inlineStr">
        <is>
          <t>Reading ability and reading engagement in older adults with glaucoma.</t>
        </is>
      </c>
      <c r="E134" s="9" t="inlineStr">
        <is>
          <t>Investigative ophthalmology &amp; visual science</t>
        </is>
      </c>
      <c r="F134" s="10" t="s">
        <v>44</v>
      </c>
      <c r="G134" s="9" t="inlineStr">
        <is>
          <t>PURPOSE: We evaluated the impact of glaucoma-related vision loss on reading ability and reading engagement in 10 reading activities. METHODS: A total of 63 glaucoma patients and 59 glaucoma suspect controls self-rated their level of reading difficulty for 10 reading items, and responses were analyzed using Rasch analysis to determine reading ability. Reading engagement was assessed by asking subjects to report the number of days per week they engaged in each reading activity. Reading restriction was determined as a decrement in engagement. RESULTS: Glaucoma subjects more often described greater reading difficulty than controls for all tasks except puzzles (P &lt; 0.05). The most difficult reading tasks involved puzzles, books, and finances, while the least difficult reading tasks involved notes, bills, and mail. In multivariable weighted least squares regression models of Rasch-estimated person measures of reading ability, less reading ability was found for glaucoma patients compared to controls (β = -1.60 logits, P &lt; 0.001). Among glaucoma patients, less reading ability was associated with more severe visual field (VF) loss (β = -0.68 logits per 5-dB decrement in better-eye VF mean deviation [MD], P &lt; 0.001) and contrast sensitivity (β = -0.76 logits per 0.1-unit lower log CS, P &lt; 0.001). Each 5-dB decrement in the better-eye VF MD was associated with book reading on 18% fewer days (P = 0.003) and newspaper reading on 10% fewer days (P = 0.008). No statistically significant reading restriction was observed for other reading activities (P &gt; 0.05). CONCLUSIONS: Glaucoma patients have less reading ability and engage less in a variety of different reading activities, particularly those requiring sustained reading. Future work should evaluate the mechanisms underlying reading disability in glaucoma to determine how patients can maintain reading ability and engagement.</t>
        </is>
      </c>
      <c r="H134" s="11"/>
      <c r="I134" s="11"/>
      <c r="J134" s="11"/>
      <c r="K134" s="11"/>
      <c r="L134" s="11"/>
      <c r="M134" s="9"/>
      <c r="N134" s="12"/>
      <c r="O134" s="12"/>
      <c r="P134" s="12"/>
      <c r="Q134" s="12"/>
      <c r="R134" s="12"/>
      <c r="S134" s="12"/>
    </row>
    <row r="135" spans="1:19" ht="90" customHeight="1" x14ac:dyDescent="0.2">
      <c r="A135" s="9">
        <v>134</v>
      </c>
      <c r="B135" s="9">
        <v>2017</v>
      </c>
      <c r="C135" s="9" t="inlineStr">
        <is>
          <t>Kaleem, Mona A et al.</t>
        </is>
      </c>
      <c r="D135" s="9" t="inlineStr">
        <is>
          <t>Referral to Low Vision Services for Glaucoma Patients: Referral Patterns and Characteristics of Those Who Refer.</t>
        </is>
      </c>
      <c r="E135" s="9" t="inlineStr">
        <is>
          <t>Journal of glaucoma</t>
        </is>
      </c>
      <c r="F135" s="10" t="s">
        <v>44</v>
      </c>
      <c r="G135" s="9" t="inlineStr">
        <is>
          <t>PURPOSE: To identify characteristics of ophthalmologists and practices who refer glaucoma patients to low vision services (LVS). MATERIALS AND METHODS: An online survey was distributed to members of the American Glaucoma Society. The survey queried demographics of responders and their clinical practices, criteria and barriers to referral to LVS. Survey responders were categorized as high referrers if they reported referring &gt;5 patients to LVS and low referrers if they referred ≤5. χ and Fischer exact tests were used to compare characteristics between high and low referrers. Logistic regression analyses were used to calculate odds ratios and 95% confidence intervals and determine factors associated with referrer status. RESULTS: High referrers to LVS tended to have &gt;10 patients per month who had already seen a low vision provider (53% vs. 10%, P&lt;0.001), reported following the American Academy of Ophthalmology's Preferred Practice Pattern (PPP) recommendations for LVS referrals (38% vs. 18%, P=0.011), and expressed satisfaction with their current referral practices (86% vs. 70%, P=0.049). In the fully adjusted model those who followed PPP were 2.5 times more likely to report being a high referrer as compared with a low referrer (95% confidence interval, 1.1-5.3). However, only 22% of ophthalmologists reported following these guidelines in their practice. The number of years in practice, practice location or type, volume of patients seen each week, and distance to a low vision clinic were not associated with referral. CONCLUSIONS: Familiarity with PPP guidelines may positively influence LVS referral practices.</t>
        </is>
      </c>
      <c r="H135" s="11"/>
      <c r="I135" s="11"/>
      <c r="J135" s="11"/>
      <c r="K135" s="11"/>
      <c r="L135" s="11"/>
      <c r="M135" s="9"/>
      <c r="N135" s="12"/>
      <c r="O135" s="12"/>
      <c r="P135" s="12"/>
      <c r="Q135" s="12"/>
      <c r="R135" s="12"/>
      <c r="S135" s="12"/>
    </row>
    <row r="136" spans="1:19" ht="90" customHeight="1" x14ac:dyDescent="0.2">
      <c r="A136" s="9">
        <v>135</v>
      </c>
      <c r="B136" s="9">
        <v>2023</v>
      </c>
      <c r="C136" s="9" t="inlineStr">
        <is>
          <t>Jackson, Mary Lou et al.</t>
        </is>
      </c>
      <c r="D136" s="9" t="inlineStr">
        <is>
          <t>Vision Rehabilitation Preferred Practice Pattern®.</t>
        </is>
      </c>
      <c r="E136" s="9" t="inlineStr">
        <is>
          <t>Ophthalmology</t>
        </is>
      </c>
      <c r="F136" s="10" t="s">
        <v>44</v>
      </c>
      <c r="G136" s="9" t="inlineStr">
        <is>
          <t>Missing</t>
        </is>
      </c>
      <c r="H136" s="11"/>
      <c r="I136" s="11"/>
      <c r="J136" s="11"/>
      <c r="K136" s="11"/>
      <c r="L136" s="11"/>
      <c r="M136" s="9"/>
      <c r="N136" s="12"/>
      <c r="O136" s="12"/>
      <c r="P136" s="12"/>
      <c r="Q136" s="12"/>
      <c r="R136" s="12"/>
      <c r="S136" s="12"/>
    </row>
  </sheetData>
  <autoFilter ref="A1:S136" xr:uid="{00000000-0009-0000-0000-000001000000}"/>
  <conditionalFormatting sqref="H2:H136">
    <cfRule type="expression" dxfId="8" priority="2">
      <formula>H2="Include"</formula>
    </cfRule>
    <cfRule type="expression" dxfId="7" priority="3">
      <formula>H2="Exclude"</formula>
    </cfRule>
    <cfRule type="expression" dxfId="6" priority="4">
      <formula>H2="Maybe"</formula>
    </cfRule>
  </conditionalFormatting>
  <conditionalFormatting sqref="J2:J136">
    <cfRule type="expression" dxfId="5" priority="5">
      <formula>J2="Include"</formula>
    </cfRule>
    <cfRule type="expression" dxfId="4" priority="6">
      <formula>J2="Exclude"</formula>
    </cfRule>
    <cfRule type="expression" dxfId="3" priority="7">
      <formula>J2="Maybe"</formula>
    </cfRule>
  </conditionalFormatting>
  <conditionalFormatting sqref="N2:N136">
    <cfRule type="expression" dxfId="2" priority="8">
      <formula>N2="Include"</formula>
    </cfRule>
    <cfRule type="expression" dxfId="1" priority="9">
      <formula>N2="Exclude"</formula>
    </cfRule>
    <cfRule type="expression" dxfId="0" priority="10">
      <formula>N2="Maybe"</formula>
    </cfRule>
  </conditionalFormatting>
  <conditionalFormatting sqref="Q2:Q136">
    <cfRule type="expression" dxfId="2" priority="11">
      <formula>Q2="Include"</formula>
    </cfRule>
    <cfRule type="expression" dxfId="1" priority="12">
      <formula>Q2="Exclude"</formula>
    </cfRule>
    <cfRule type="expression" dxfId="0" priority="13">
      <formula>Q2="Maybe"</formula>
    </cfRule>
  </conditionalFormatting>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6" r:id="rId14" xr:uid="{00000000-0004-0000-0100-00000D000000}"/>
    <hyperlink ref="F17" r:id="rId15" xr:uid="{00000000-0004-0000-0100-00000E000000}"/>
    <hyperlink ref="F18" r:id="rId16" xr:uid="{00000000-0004-0000-0100-00000F000000}"/>
    <hyperlink ref="F19" r:id="rId17" xr:uid="{00000000-0004-0000-0100-000010000000}"/>
    <hyperlink ref="F20" r:id="rId18" xr:uid="{00000000-0004-0000-0100-000011000000}"/>
    <hyperlink ref="F21" r:id="rId19" xr:uid="{00000000-0004-0000-0100-000012000000}"/>
    <hyperlink ref="F22" r:id="rId20" xr:uid="{00000000-0004-0000-0100-000013000000}"/>
    <hyperlink ref="F23" r:id="rId21" xr:uid="{00000000-0004-0000-0100-000014000000}"/>
    <hyperlink ref="F24" r:id="rId22" xr:uid="{00000000-0004-0000-0100-000015000000}"/>
    <hyperlink ref="F25" r:id="rId23" xr:uid="{00000000-0004-0000-0100-000016000000}"/>
    <hyperlink ref="F26" r:id="rId24" xr:uid="{00000000-0004-0000-0100-000017000000}"/>
    <hyperlink ref="F27" r:id="rId25" xr:uid="{00000000-0004-0000-0100-000018000000}"/>
    <hyperlink ref="F28" r:id="rId26" xr:uid="{00000000-0004-0000-0100-000019000000}"/>
    <hyperlink ref="F29" r:id="rId27" xr:uid="{00000000-0004-0000-0100-00001A000000}"/>
    <hyperlink ref="F30" r:id="rId28" xr:uid="{00000000-0004-0000-0100-00001B000000}"/>
    <hyperlink ref="F31" r:id="rId29" xr:uid="{00000000-0004-0000-0100-00001C000000}"/>
    <hyperlink ref="F32" r:id="rId30" xr:uid="{00000000-0004-0000-0100-00001D000000}"/>
    <hyperlink ref="F33" r:id="rId31" xr:uid="{00000000-0004-0000-0100-00001E000000}"/>
    <hyperlink ref="F34" r:id="rId32" xr:uid="{00000000-0004-0000-0100-00001F000000}"/>
    <hyperlink ref="F35" r:id="rId33" xr:uid="{00000000-0004-0000-0100-000020000000}"/>
    <hyperlink ref="F36" r:id="rId34" xr:uid="{00000000-0004-0000-0100-000021000000}"/>
    <hyperlink ref="F37" r:id="rId35" xr:uid="{00000000-0004-0000-0100-000022000000}"/>
    <hyperlink ref="F38" r:id="rId36" xr:uid="{00000000-0004-0000-0100-000023000000}"/>
    <hyperlink ref="F39" r:id="rId37" xr:uid="{00000000-0004-0000-0100-000024000000}"/>
    <hyperlink ref="F40" r:id="rId38" xr:uid="{00000000-0004-0000-0100-000025000000}"/>
    <hyperlink ref="F41" r:id="rId39" xr:uid="{00000000-0004-0000-0100-000026000000}"/>
    <hyperlink ref="F42" r:id="rId40" xr:uid="{00000000-0004-0000-0100-000027000000}"/>
    <hyperlink ref="F43" r:id="rId41" xr:uid="{00000000-0004-0000-0100-000028000000}"/>
    <hyperlink ref="F44" r:id="rId42" xr:uid="{00000000-0004-0000-0100-000029000000}"/>
    <hyperlink ref="F45" r:id="rId43" xr:uid="{00000000-0004-0000-0100-00002A000000}"/>
    <hyperlink ref="F46" r:id="rId44" xr:uid="{00000000-0004-0000-0100-00002B000000}"/>
    <hyperlink ref="F47" r:id="rId45" xr:uid="{00000000-0004-0000-0100-00002C000000}"/>
    <hyperlink ref="F48" r:id="rId46" xr:uid="{00000000-0004-0000-0100-00002D000000}"/>
    <hyperlink ref="F50" r:id="rId47" xr:uid="{00000000-0004-0000-0100-00002E000000}"/>
    <hyperlink ref="F51" r:id="rId48" xr:uid="{00000000-0004-0000-0100-00002F000000}"/>
    <hyperlink ref="F52" r:id="rId49" xr:uid="{00000000-0004-0000-0100-000030000000}"/>
    <hyperlink ref="F53" r:id="rId50" xr:uid="{00000000-0004-0000-0100-000031000000}"/>
    <hyperlink ref="F54" r:id="rId51" xr:uid="{00000000-0004-0000-0100-000032000000}"/>
    <hyperlink ref="F55" r:id="rId52" xr:uid="{00000000-0004-0000-0100-000033000000}"/>
    <hyperlink ref="F56" r:id="rId53" xr:uid="{00000000-0004-0000-0100-000034000000}"/>
    <hyperlink ref="F57" r:id="rId54" xr:uid="{00000000-0004-0000-0100-000035000000}"/>
    <hyperlink ref="F58" r:id="rId55" xr:uid="{00000000-0004-0000-0100-000036000000}"/>
    <hyperlink ref="F59" r:id="rId56" xr:uid="{00000000-0004-0000-0100-000037000000}"/>
    <hyperlink ref="F60" r:id="rId57" xr:uid="{00000000-0004-0000-0100-000038000000}"/>
    <hyperlink ref="F61" r:id="rId58" xr:uid="{00000000-0004-0000-0100-000039000000}"/>
    <hyperlink ref="F62" r:id="rId59" xr:uid="{00000000-0004-0000-0100-00003A000000}"/>
    <hyperlink ref="F63" r:id="rId60" xr:uid="{00000000-0004-0000-0100-00003B000000}"/>
    <hyperlink ref="F64" r:id="rId61" xr:uid="{00000000-0004-0000-0100-00003C000000}"/>
    <hyperlink ref="F65" r:id="rId62" xr:uid="{00000000-0004-0000-0100-00003D000000}"/>
    <hyperlink ref="F67" r:id="rId63" xr:uid="{00000000-0004-0000-0100-00003E000000}"/>
    <hyperlink ref="F68" r:id="rId64" xr:uid="{00000000-0004-0000-0100-00003F000000}"/>
    <hyperlink ref="F70" r:id="rId65" xr:uid="{00000000-0004-0000-0100-000040000000}"/>
    <hyperlink ref="F71" r:id="rId66" xr:uid="{00000000-0004-0000-0100-000041000000}"/>
    <hyperlink ref="F72" r:id="rId67" xr:uid="{00000000-0004-0000-0100-000042000000}"/>
    <hyperlink ref="F73" r:id="rId68" xr:uid="{00000000-0004-0000-0100-000043000000}"/>
    <hyperlink ref="F74" r:id="rId69" xr:uid="{00000000-0004-0000-0100-000044000000}"/>
    <hyperlink ref="F75" r:id="rId70" xr:uid="{00000000-0004-0000-0100-000045000000}"/>
    <hyperlink ref="F76" r:id="rId71" xr:uid="{00000000-0004-0000-0100-000046000000}"/>
    <hyperlink ref="F77" r:id="rId72" xr:uid="{00000000-0004-0000-0100-000047000000}"/>
    <hyperlink ref="F78" r:id="rId73" xr:uid="{00000000-0004-0000-0100-000048000000}"/>
    <hyperlink ref="F79" r:id="rId74" xr:uid="{00000000-0004-0000-0100-000049000000}"/>
    <hyperlink ref="F80" r:id="rId75" xr:uid="{00000000-0004-0000-0100-00004A000000}"/>
    <hyperlink ref="F81" r:id="rId76" xr:uid="{00000000-0004-0000-0100-00004B000000}"/>
    <hyperlink ref="F82" r:id="rId77" xr:uid="{00000000-0004-0000-0100-00004C000000}"/>
    <hyperlink ref="F83" r:id="rId78" xr:uid="{00000000-0004-0000-0100-00004D000000}"/>
    <hyperlink ref="F84" r:id="rId79" xr:uid="{00000000-0004-0000-0100-00004E000000}"/>
    <hyperlink ref="F85" r:id="rId80" xr:uid="{00000000-0004-0000-0100-00004F000000}"/>
    <hyperlink ref="F86" r:id="rId81" xr:uid="{00000000-0004-0000-0100-000050000000}"/>
    <hyperlink ref="F87" r:id="rId82" xr:uid="{00000000-0004-0000-0100-000051000000}"/>
    <hyperlink ref="F88" r:id="rId83" xr:uid="{00000000-0004-0000-0100-000052000000}"/>
    <hyperlink ref="F89" r:id="rId84" xr:uid="{00000000-0004-0000-0100-000053000000}"/>
    <hyperlink ref="F90" r:id="rId85" xr:uid="{00000000-0004-0000-0100-000054000000}"/>
    <hyperlink ref="F91" r:id="rId86" xr:uid="{00000000-0004-0000-0100-000055000000}"/>
    <hyperlink ref="F92" r:id="rId87" xr:uid="{00000000-0004-0000-0100-000056000000}"/>
    <hyperlink ref="F93" r:id="rId88" xr:uid="{00000000-0004-0000-0100-000057000000}"/>
    <hyperlink ref="F95" r:id="rId89" xr:uid="{00000000-0004-0000-0100-000058000000}"/>
    <hyperlink ref="F96" r:id="rId90" xr:uid="{00000000-0004-0000-0100-000059000000}"/>
    <hyperlink ref="F97" r:id="rId91" xr:uid="{00000000-0004-0000-0100-00005A000000}"/>
    <hyperlink ref="F98" r:id="rId92" xr:uid="{00000000-0004-0000-0100-00005B000000}"/>
    <hyperlink ref="F99" r:id="rId93" xr:uid="{00000000-0004-0000-0100-00005C000000}"/>
    <hyperlink ref="F100" r:id="rId94" xr:uid="{00000000-0004-0000-0100-00005D000000}"/>
    <hyperlink ref="F101" r:id="rId95" xr:uid="{00000000-0004-0000-0100-00005E000000}"/>
    <hyperlink ref="F102" r:id="rId96" xr:uid="{00000000-0004-0000-0100-00005F000000}"/>
    <hyperlink ref="F103" r:id="rId97" xr:uid="{00000000-0004-0000-0100-000060000000}"/>
    <hyperlink ref="F104" r:id="rId98" xr:uid="{00000000-0004-0000-0100-000061000000}"/>
    <hyperlink ref="F105" r:id="rId99" xr:uid="{00000000-0004-0000-0100-000062000000}"/>
    <hyperlink ref="F106" r:id="rId100" xr:uid="{00000000-0004-0000-0100-000063000000}"/>
    <hyperlink ref="F107" r:id="rId101" xr:uid="{00000000-0004-0000-0100-000064000000}"/>
    <hyperlink ref="F108" r:id="rId102" xr:uid="{00000000-0004-0000-0100-000065000000}"/>
    <hyperlink ref="F110" r:id="rId103" xr:uid="{00000000-0004-0000-0100-000066000000}"/>
    <hyperlink ref="F111" r:id="rId104" xr:uid="{00000000-0004-0000-0100-000067000000}"/>
    <hyperlink ref="F112" r:id="rId105" xr:uid="{00000000-0004-0000-0100-000068000000}"/>
    <hyperlink ref="F113" r:id="rId106" xr:uid="{00000000-0004-0000-0100-000069000000}"/>
    <hyperlink ref="F114" r:id="rId107" xr:uid="{00000000-0004-0000-0100-00006A000000}"/>
    <hyperlink ref="F115" r:id="rId108" xr:uid="{00000000-0004-0000-0100-00006B000000}"/>
    <hyperlink ref="F116" r:id="rId109" xr:uid="{00000000-0004-0000-0100-00006C000000}"/>
    <hyperlink ref="F117" r:id="rId110" xr:uid="{00000000-0004-0000-0100-00006D000000}"/>
    <hyperlink ref="F118" r:id="rId111" xr:uid="{00000000-0004-0000-0100-00006E000000}"/>
    <hyperlink ref="F119" r:id="rId112" xr:uid="{00000000-0004-0000-0100-00006F000000}"/>
    <hyperlink ref="F120" r:id="rId113" xr:uid="{00000000-0004-0000-0100-000070000000}"/>
    <hyperlink ref="F121" r:id="rId114" xr:uid="{00000000-0004-0000-0100-000071000000}"/>
    <hyperlink ref="F122" r:id="rId115" xr:uid="{00000000-0004-0000-0100-000072000000}"/>
    <hyperlink ref="F123" r:id="rId116" xr:uid="{00000000-0004-0000-0100-000073000000}"/>
    <hyperlink ref="F124" r:id="rId117" xr:uid="{00000000-0004-0000-0100-000074000000}"/>
    <hyperlink ref="F125" r:id="rId118" xr:uid="{00000000-0004-0000-0100-000075000000}"/>
    <hyperlink ref="F126" r:id="rId119" xr:uid="{00000000-0004-0000-0100-000076000000}"/>
    <hyperlink ref="F127" r:id="rId120" xr:uid="{00000000-0004-0000-0100-000077000000}"/>
    <hyperlink ref="F129" r:id="rId121"/>
    <hyperlink ref="F130" r:id="rId122"/>
    <hyperlink ref="F131" r:id="rId123"/>
    <hyperlink ref="F132" r:id="rId124"/>
    <hyperlink ref="F134" r:id="rId125"/>
    <hyperlink ref="F135" r:id="rId126"/>
    <hyperlink ref="F136" r:id="rId127"/>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Lists!$A$2:$A$4</xm:f>
          </x14:formula1>
          <x14:formula2>
            <xm:f>0</xm:f>
          </x14:formula2>
          <xm:sqref>H2:H136</xm:sqref>
        </x14:dataValidation>
        <x14:dataValidation type="list" allowBlank="1" xr:uid="{00000000-0002-0000-0100-000001000000}">
          <x14:formula1>
            <xm:f>Lists!$C$2:$C$11</xm:f>
          </x14:formula1>
          <x14:formula2>
            <xm:f>0</xm:f>
          </x14:formula2>
          <xm:sqref>I2:I136 K2:K136</xm:sqref>
        </x14:dataValidation>
        <x14:dataValidation type="list" allowBlank="1" xr:uid="{00000000-0002-0000-0100-000002000000}">
          <x14:formula1>
            <xm:f>Lists!$B$2:$B$3</xm:f>
          </x14:formula1>
          <x14:formula2>
            <xm:f>0</xm:f>
          </x14:formula2>
          <xm:sqref>J2:J136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32"/>
  <sheetViews>
    <sheetView zoomScaleNormal="100" workbookViewId="0"/>
  </sheetViews>
  <sheetFormatPr baseColWidth="10" defaultColWidth="8.6640625" defaultRowHeight="15" x14ac:dyDescent="0.2"/>
  <cols>
    <col min="1" max="1" width="40" customWidth="1"/>
    <col min="2" max="2" width="16" customWidth="1"/>
    <col min="3" max="3" width="36" customWidth="1"/>
  </cols>
  <sheetData>
    <row r="2" spans="1:3" ht="15.75" customHeight="1" x14ac:dyDescent="0.2">
      <c r="A2" s="14" t="s">
        <v>771</v>
      </c>
    </row>
    <row r="3" spans="1:3" x14ac:dyDescent="0.2">
      <c r="A3" s="15" t="s">
        <v>772</v>
      </c>
      <c r="B3" s="16">
        <v>78</v>
      </c>
      <c r="C3" s="17" t="s">
        <v>773</v>
      </c>
    </row>
    <row r="4" spans="1:3" x14ac:dyDescent="0.2">
      <c r="A4" s="15" t="s">
        <v>774</v>
      </c>
      <c r="B4" s="16">
        <v>88</v>
      </c>
      <c r="C4" s="17" t="s">
        <v>773</v>
      </c>
    </row>
    <row r="5" spans="1:3" x14ac:dyDescent="0.2">
      <c r="A5" s="15" t="inlineStr">
        <is>
          <t>Records identified – other sources</t>
        </is>
      </c>
      <c r="B5" s="16">
        <v>8</v>
      </c>
      <c r="C5" s="17" t="inlineStr">
        <is>
          <t>Source: key sources in the study outline, added by hand (13 Oct 2026)</t>
        </is>
      </c>
    </row>
    <row r="6" spans="1:3" x14ac:dyDescent="0.2">
      <c r="A6" s="15" t="s">
        <v>775</v>
      </c>
      <c r="B6" s="18">
        <f>B3+B4+B5</f>
        <v>174</v>
      </c>
    </row>
    <row r="7" spans="1:3" x14ac:dyDescent="0.2">
      <c r="A7" s="15" t="s">
        <v>776</v>
      </c>
      <c r="B7" s="18">
        <f>B6-B8</f>
        <v>39</v>
      </c>
    </row>
    <row r="8" spans="1:3" x14ac:dyDescent="0.2">
      <c r="A8" s="15" t="s">
        <v>777</v>
      </c>
      <c r="B8" s="18">
        <f>COUNTA(Screening!$D$2:$D$136)</f>
        <v>135</v>
      </c>
    </row>
    <row r="9" spans="1:3" x14ac:dyDescent="0.2">
      <c r="A9" s="15" t="s">
        <v>778</v>
      </c>
      <c r="B9" s="18">
        <f>COUNTA(Screening!$H$2:$H$136)</f>
        <v>40</v>
      </c>
    </row>
    <row r="10" spans="1:3" x14ac:dyDescent="0.2">
      <c r="A10" s="15" t="s">
        <v>779</v>
      </c>
      <c r="B10" s="18">
        <f>COUNTIF(Screening!$H$2:$H$136,"Exclude")</f>
        <v>27</v>
      </c>
    </row>
    <row r="11" spans="1:3" x14ac:dyDescent="0.2">
      <c r="A11" s="15" t="s">
        <v>780</v>
      </c>
      <c r="B11" s="18">
        <f>COUNTIF(Screening!$H$2:$H$136,"Include")+COUNTIF(Screening!$H$2:$H$136,"Maybe")</f>
        <v>13</v>
      </c>
    </row>
    <row r="12" spans="1:3" x14ac:dyDescent="0.2">
      <c r="A12" s="15" t="s">
        <v>781</v>
      </c>
      <c r="B12" s="18">
        <f>COUNTA(Screening!$J$2:$J$136)</f>
        <v>0</v>
      </c>
    </row>
    <row r="13" spans="1:3" x14ac:dyDescent="0.2">
      <c r="A13" s="15" t="s">
        <v>782</v>
      </c>
      <c r="B13" s="18">
        <f>COUNTIF(Screening!$J$2:$J$136,"Exclude")</f>
        <v>0</v>
      </c>
    </row>
    <row r="14" spans="1:3" x14ac:dyDescent="0.2">
      <c r="A14" s="19" t="s">
        <v>783</v>
      </c>
      <c r="B14" s="20">
        <f>COUNTIF(Screening!$J$2:$J$136,"Include")</f>
        <v>0</v>
      </c>
    </row>
    <row r="17" spans="1:3" ht="15.75" customHeight="1" x14ac:dyDescent="0.2">
      <c r="A17" s="14" t="s">
        <v>784</v>
      </c>
    </row>
    <row r="18" spans="1:3" x14ac:dyDescent="0.2">
      <c r="A18" s="19" t="s">
        <v>23</v>
      </c>
      <c r="B18" s="19" t="s">
        <v>785</v>
      </c>
      <c r="C18" s="19" t="s">
        <v>786</v>
      </c>
    </row>
    <row r="19" spans="1:3" x14ac:dyDescent="0.2">
      <c r="A19" s="15" t="s">
        <v>47</v>
      </c>
      <c r="B19" s="15">
        <f>COUNTIF(Screening!$I$2:$I$136,A19)</f>
        <v>2</v>
      </c>
      <c r="C19" s="15">
        <f>COUNTIF(Screening!$K$2:$K$136,A19)</f>
        <v>0</v>
      </c>
    </row>
    <row r="20" spans="1:3" x14ac:dyDescent="0.2">
      <c r="A20" s="15" t="s">
        <v>24</v>
      </c>
      <c r="B20" s="15">
        <f>COUNTIF(Screening!$I$2:$I$136,A20)</f>
        <v>18</v>
      </c>
      <c r="C20" s="15">
        <f>COUNTIF(Screening!$K$2:$K$136,A20)</f>
        <v>0</v>
      </c>
    </row>
    <row r="21" spans="1:3" x14ac:dyDescent="0.2">
      <c r="A21" s="15" t="s">
        <v>62</v>
      </c>
      <c r="B21" s="15">
        <f>COUNTIF(Screening!$I$2:$I$136,A21)</f>
        <v>0</v>
      </c>
      <c r="C21" s="15">
        <f>COUNTIF(Screening!$K$2:$K$136,A21)</f>
        <v>0</v>
      </c>
    </row>
    <row r="22" spans="1:3" x14ac:dyDescent="0.2">
      <c r="A22" s="15" t="s">
        <v>55</v>
      </c>
      <c r="B22" s="15">
        <f>COUNTIF(Screening!$I$2:$I$136,A22)</f>
        <v>1</v>
      </c>
      <c r="C22" s="15">
        <f>COUNTIF(Screening!$K$2:$K$136,A22)</f>
        <v>0</v>
      </c>
    </row>
    <row r="23" spans="1:3" x14ac:dyDescent="0.2">
      <c r="A23" s="15" t="s">
        <v>95</v>
      </c>
      <c r="B23" s="15">
        <f>COUNTIF(Screening!$I$2:$I$136,A23)</f>
        <v>6</v>
      </c>
      <c r="C23" s="15">
        <f>COUNTIF(Screening!$K$2:$K$136,A23)</f>
        <v>0</v>
      </c>
    </row>
    <row r="24" spans="1:3" x14ac:dyDescent="0.2">
      <c r="A24" s="15" t="s">
        <v>69</v>
      </c>
      <c r="B24" s="15">
        <f>COUNTIF(Screening!$I$2:$I$136,A24)</f>
        <v>0</v>
      </c>
      <c r="C24" s="15">
        <f>COUNTIF(Screening!$K$2:$K$136,A24)</f>
        <v>0</v>
      </c>
    </row>
    <row r="25" spans="1:3" x14ac:dyDescent="0.2">
      <c r="A25" s="15" t="s">
        <v>787</v>
      </c>
      <c r="B25" s="15">
        <f>COUNTIF(Screening!$I$2:$I$136,A25)</f>
        <v>0</v>
      </c>
      <c r="C25" s="15">
        <f>COUNTIF(Screening!$K$2:$K$136,A25)</f>
        <v>0</v>
      </c>
    </row>
    <row r="26" spans="1:3" x14ac:dyDescent="0.2">
      <c r="A26" s="15" t="s">
        <v>788</v>
      </c>
      <c r="B26" s="15">
        <f>COUNTIF(Screening!$I$2:$I$136,A26)</f>
        <v>0</v>
      </c>
      <c r="C26" s="15">
        <f>COUNTIF(Screening!$K$2:$K$136,A26)</f>
        <v>0</v>
      </c>
    </row>
    <row r="27" spans="1:3" x14ac:dyDescent="0.2">
      <c r="A27" s="15" t="s">
        <v>789</v>
      </c>
      <c r="B27" s="15">
        <f>COUNTIF(Screening!$I$2:$I$136,A27)</f>
        <v>0</v>
      </c>
      <c r="C27" s="15">
        <f>COUNTIF(Screening!$K$2:$K$136,A27)</f>
        <v>0</v>
      </c>
    </row>
    <row r="28" spans="1:3" x14ac:dyDescent="0.2">
      <c r="A28" s="15" t="s">
        <v>696</v>
      </c>
      <c r="B28" s="15">
        <f>COUNTIF(Screening!$I$2:$I$136,A28)</f>
        <v>0</v>
      </c>
      <c r="C28" s="15">
        <f>COUNTIF(Screening!$K$2:$K$136,A28)</f>
        <v>0</v>
      </c>
    </row>
    <row r="30" spans="1:3" ht="16" x14ac:dyDescent="0.2">
      <c r="A30" s="21" t="s">
        <v>790</v>
      </c>
    </row>
    <row r="31" spans="1:3" x14ac:dyDescent="0.2">
      <c r="A31" s="22" t="s">
        <v>791</v>
      </c>
      <c r="B31" s="22">
        <f>SUMPRODUCT((Screening!$H$2:$H$136&lt;&gt;"")*(Screening!$H$2:$H$136=Screening!$N$2:$N$136))</f>
        <v>25</v>
      </c>
    </row>
    <row r="32" spans="1:3" x14ac:dyDescent="0.2">
      <c r="A32" s="22" t="s">
        <v>792</v>
      </c>
      <c r="B32" s="22">
        <f>SUMPRODUCT((Screening!$H$2:$H$136&lt;&gt;"")*(Screening!$H$2:$H$136&lt;&gt;Screening!$N$2:$N$136))</f>
        <v>15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Normal="100" workbookViewId="0"/>
  </sheetViews>
  <sheetFormatPr baseColWidth="10" defaultColWidth="8.6640625" defaultRowHeight="15" x14ac:dyDescent="0.2"/>
  <cols>
    <col min="1" max="1" width="14" customWidth="1"/>
    <col min="2" max="2" width="20" customWidth="1"/>
    <col min="3" max="3" width="40" customWidth="1"/>
  </cols>
  <sheetData>
    <row r="1" spans="1:3" x14ac:dyDescent="0.2">
      <c r="A1" s="19" t="s">
        <v>793</v>
      </c>
      <c r="B1" s="19" t="s">
        <v>794</v>
      </c>
      <c r="C1" s="19" t="s">
        <v>784</v>
      </c>
    </row>
    <row r="2" spans="1:3" x14ac:dyDescent="0.2">
      <c r="A2" s="15" t="s">
        <v>17</v>
      </c>
      <c r="B2" s="15" t="s">
        <v>17</v>
      </c>
      <c r="C2" s="15" t="s">
        <v>47</v>
      </c>
    </row>
    <row r="3" spans="1:3" x14ac:dyDescent="0.2">
      <c r="A3" s="15" t="s">
        <v>19</v>
      </c>
      <c r="B3" s="15" t="s">
        <v>19</v>
      </c>
      <c r="C3" s="15" t="s">
        <v>24</v>
      </c>
    </row>
    <row r="4" spans="1:3" x14ac:dyDescent="0.2">
      <c r="A4" s="15" t="s">
        <v>76</v>
      </c>
      <c r="B4" s="15"/>
      <c r="C4" s="15" t="s">
        <v>62</v>
      </c>
    </row>
    <row r="5" spans="1:3" x14ac:dyDescent="0.2">
      <c r="A5" s="15"/>
      <c r="B5" s="15"/>
      <c r="C5" s="15" t="s">
        <v>55</v>
      </c>
    </row>
    <row r="6" spans="1:3" x14ac:dyDescent="0.2">
      <c r="A6" s="15"/>
      <c r="B6" s="15"/>
      <c r="C6" s="15" t="s">
        <v>95</v>
      </c>
    </row>
    <row r="7" spans="1:3" x14ac:dyDescent="0.2">
      <c r="A7" s="15"/>
      <c r="B7" s="15"/>
      <c r="C7" s="15" t="s">
        <v>69</v>
      </c>
    </row>
    <row r="8" spans="1:3" x14ac:dyDescent="0.2">
      <c r="A8" s="15"/>
      <c r="B8" s="15"/>
      <c r="C8" s="15" t="s">
        <v>787</v>
      </c>
    </row>
    <row r="9" spans="1:3" x14ac:dyDescent="0.2">
      <c r="A9" s="15"/>
      <c r="B9" s="15"/>
      <c r="C9" s="15" t="s">
        <v>788</v>
      </c>
    </row>
    <row r="10" spans="1:3" x14ac:dyDescent="0.2">
      <c r="A10" s="15"/>
      <c r="B10" s="15"/>
      <c r="C10" s="15" t="s">
        <v>789</v>
      </c>
    </row>
    <row r="11" spans="1:3" x14ac:dyDescent="0.2">
      <c r="A11" s="15"/>
      <c r="B11" s="15"/>
      <c r="C11" s="15" t="s">
        <v>696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Screening</vt:lpstr>
      <vt:lpstr>Counts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Moossavi, Mona</cp:lastModifiedBy>
  <cp:revision>0</cp:revision>
  <dcterms:created xsi:type="dcterms:W3CDTF">2026-10-05T02:39:39Z</dcterms:created>
  <dcterms:modified xsi:type="dcterms:W3CDTF">2026-10-13T01:30:08Z</dcterms:modified>
  <dc:language>en-US</dc:language>
</cp:coreProperties>
</file>