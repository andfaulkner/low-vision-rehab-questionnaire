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monamoossavi/Downloads/"/>
    </mc:Choice>
  </mc:AlternateContent>
  <xr:revisionPtr revIDLastSave="0" documentId="8_{DEEF9716-3342-224F-9D5B-DC043F3A695C}" xr6:coauthVersionLast="47" xr6:coauthVersionMax="47" xr10:uidLastSave="{00000000-0000-0000-0000-000000000000}"/>
  <bookViews>
    <workbookView xWindow="0" yWindow="0" windowWidth="28800" windowHeight="18000" tabRatio="500" activeTab="1" xr2:uid="{00000000-000D-0000-FFFF-FFFF00000000}"/>
  </bookViews>
  <sheets>
    <sheet name="Instructions" sheetId="1" r:id="rId1"/>
    <sheet name="Screening" sheetId="2" r:id="rId2"/>
    <sheet name="Counts" sheetId="3" r:id="rId3"/>
    <sheet name="Lists" sheetId="4" r:id="rId4"/>
  </sheets>
  <definedNames>
    <definedName name="_xlnm._FilterDatabase" localSheetId="1" hidden="1">Screening!$A$1:$P$11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2" i="3" l="1"/>
  <c r="B31" i="3"/>
  <c r="C28" i="3"/>
  <c r="B28" i="3"/>
  <c r="C27" i="3"/>
  <c r="B27" i="3"/>
  <c r="C26" i="3"/>
  <c r="B26" i="3"/>
  <c r="C25" i="3"/>
  <c r="B25" i="3"/>
  <c r="C24" i="3"/>
  <c r="B24" i="3"/>
  <c r="C23" i="3"/>
  <c r="B23" i="3"/>
  <c r="C22" i="3"/>
  <c r="B22" i="3"/>
  <c r="C21" i="3"/>
  <c r="B21" i="3"/>
  <c r="C20" i="3"/>
  <c r="B20" i="3"/>
  <c r="C19" i="3"/>
  <c r="B19" i="3"/>
  <c r="B14" i="3"/>
  <c r="B13" i="3"/>
  <c r="B12" i="3"/>
  <c r="B11" i="3"/>
  <c r="B10" i="3"/>
  <c r="B9" i="3"/>
  <c r="B8" i="3"/>
  <c r="B7" i="3" s="1"/>
  <c r="B6" i="3"/>
</calcChain>
</file>

<file path=xl/sharedStrings.xml><?xml version="1.0" encoding="utf-8"?>
<sst xmlns="http://schemas.openxmlformats.org/spreadsheetml/2006/main" count="183" uniqueCount="135">
  <si>
    <t>LVR Screening Questionnaires – Title/Abstract &amp; Full-Text Screening</t>
  </si>
  <si>
    <t>How to use</t>
  </si>
  <si>
    <t>1</t>
  </si>
  <si>
    <t>Go to the "Screening" tab. Read the title; open the abstract only if the title does not settle it.</t>
  </si>
  <si>
    <t>2</t>
  </si>
  <si>
    <t>Yellow columns are the ones you fill in. Pick from the drop-down lists only.</t>
  </si>
  <si>
    <t>3</t>
  </si>
  <si>
    <t>Title/abstract decision: Include, Exclude, or Maybe (unsure). Include + Maybe both go to full text.</t>
  </si>
  <si>
    <t>4</t>
  </si>
  <si>
    <t>If you choose Exclude, also choose ONE reason in the next column.</t>
  </si>
  <si>
    <t>5</t>
  </si>
  <si>
    <t>Rows marked "Missing" in the Abstract column have no abstract: click the DOI link to read it online.</t>
  </si>
  <si>
    <t>6</t>
  </si>
  <si>
    <t>After full-text review, fill the two full-text columns for every Include/Maybe paper.</t>
  </si>
  <si>
    <t>7</t>
  </si>
  <si>
    <t>The "Counts" tab updates automatically and gives the numbers for your flow diagram.</t>
  </si>
  <si>
    <t>Inclusion criteria</t>
  </si>
  <si>
    <t>Include</t>
  </si>
  <si>
    <t>Adults (18+); evaluates a self-report questionnaire or screening item against a measure of vision or LVR need; reports accuracy, validation, or clinical use; glaucoma PROM studies; LVR referral guidelines.</t>
  </si>
  <si>
    <t>Exclude</t>
  </si>
  <si>
    <t>Children only; rehabilitation interventions with no questionnaire data; no questionnaire/screening item; conference abstract without data; not English/French; case reports or opinion.</t>
  </si>
  <si>
    <t>Example of a filled row</t>
  </si>
  <si>
    <t>Title/abstract decision</t>
  </si>
  <si>
    <t>Reason</t>
  </si>
  <si>
    <t>No questionnaire/screening item</t>
  </si>
  <si>
    <t>Notes</t>
  </si>
  <si>
    <t>Population study of VI prevalence; no self-report tool evaluated</t>
  </si>
  <si>
    <t>AI suggestions</t>
  </si>
  <si>
    <t>Grey columns N–P hold AI-suggested decisions with a one-line rationale. They are suggestions only: read each title/abstract, then enter YOUR decision in the yellow columns. Report AI assistance in your methods.</t>
  </si>
  <si>
    <t>ID</t>
  </si>
  <si>
    <t>Year</t>
  </si>
  <si>
    <t>Authors</t>
  </si>
  <si>
    <t>Title</t>
  </si>
  <si>
    <t>Journal</t>
  </si>
  <si>
    <t>DOI link</t>
  </si>
  <si>
    <t>Abstract</t>
  </si>
  <si>
    <t>Exclusion reason (T/A)</t>
  </si>
  <si>
    <t>Full-text decision</t>
  </si>
  <si>
    <t>Exclusion reason (FT)</t>
  </si>
  <si>
    <t>Zotero key</t>
  </si>
  <si>
    <t>Suggested decision (AI)</t>
  </si>
  <si>
    <t>Suggested reason (AI)</t>
  </si>
  <si>
    <t>AI rationale</t>
  </si>
  <si>
    <t>ResearchGate</t>
  </si>
  <si>
    <t>Open (URL)</t>
  </si>
  <si>
    <t>PDF | The study presented in this article is intended to investigate the social support provided in high school Gymnasium and Lyceum) students with... | Find, read and cite all the research you need on ResearchGate</t>
  </si>
  <si>
    <t>WSA9ZTZU</t>
  </si>
  <si>
    <t>Wrong population (not adults)</t>
  </si>
  <si>
    <t>High-school students; social support, no screening tool</t>
  </si>
  <si>
    <t>Cherny, Christina et al.</t>
  </si>
  <si>
    <t>A novel collaboration: Multifocal RGPs and low vision aids increase quality of life in visually impaired</t>
  </si>
  <si>
    <t>Contact Lens and Anterior Eye</t>
  </si>
  <si>
    <t>Open</t>
  </si>
  <si>
    <t>Objectives
By presenting 2 cases, this study aimed to discuss the utility of multifocal rigid gas permeable contact lenses in the low vision patient population, and their ability to decrease reliance on low vision aids and to increase quality of life.
Methods
A retrospective case series of 2 patients receiving care from two specialty practice locations was performed. Both patients were visually impaired presbyopic myopes, and sought care from both contact lens and low vision specialties in order to improve visual function and enhance their ability to perform activities of daily living. They were each fit with multifocal gas permeable contact lenses to be used in conjunction with low vision devices. The Visual Functioning Questionnaire – 25 was administered to both patients in order to quantify improvement to quality of life with the new contact lenses.
Results
Both patients were successfully fit with multifocal gas permeable contact lenses and reported decreased reliance on low vision aids as well as significant improvement in quality of life when wearing the contact lenses.
Conclusion
The use of multifocal rigid gas permeable contact lenses in the low vision patient population may be an effective tool to make visually impaired patients, particularly presbyopic degenerative myopes, less reliant on low vision aids, thereby improving their quality of life.</t>
  </si>
  <si>
    <t>ZQRGRJ6Q</t>
  </si>
  <si>
    <t>Intervention study only</t>
  </si>
  <si>
    <t>Case series of contact lenses in LV patients</t>
  </si>
  <si>
    <t>Tabrett, Daryl R. et al.</t>
  </si>
  <si>
    <t>Adjustment to vision loss in a mixed sample of adults with established visual impairment.</t>
  </si>
  <si>
    <t>Investigative ophthalmology &amp; visual science</t>
  </si>
  <si>
    <t>PURPOSE: To determine factors associated with the level of adjustment to vision loss in a cross-sectional sample of adults with mixed visual impairment. METHODS:  One hundred participants were administered the Acceptance and Self-Worth  Adjustment Scale (AS-WAS) to assess adjustment to vision loss. The severity of  vision loss was determined using binocular clinical visual function assessments  including visual acuity, contrast sensitivity, reading performance, and visual  fields. Key demographics including age, duration of visual impairment, general  health, education, and living arrangements were evaluated, as were self-reported  vision-related activity limitation (VRAL), depression, social support, and  personality. RESULTS: Multivariate analysis showed that higher levels of  depressive symptoms (β = -0.26, P &lt; 0.01) and of the personality trait  neuroticism (β = -0.33, P &lt; 0.001), and lower levels of the personality trait of  conscientiousness (β = 0.29, P &lt; 0.01), were associated with poorer adjustment to  vision loss, explaining 56% variance. CONCLUSIONS: Adjustment to vision loss is  significantly associated with depression and certain traits of personality  (specifically neuroticism and conscientiousness), independent of the severity of  vision loss, VRAL, and duration of vision loss. The results suggest certain  individuals may be predisposed to exhibiting less adjustment to vision loss due  to personality characteristics, and exhibit poorer adjustment owing to or as a  consequence of depression, rather than due to other factors such as the onset and  severity of visual impairment.</t>
  </si>
  <si>
    <t>PTL6V66J</t>
  </si>
  <si>
    <t>No accuracy/validation data</t>
  </si>
  <si>
    <t>Adjustment-to-vision-loss scale; not a vision screening tool</t>
  </si>
  <si>
    <t>Li, Shengnan et al.</t>
  </si>
  <si>
    <t>An Overview of Preferred Retinal Locus and Its Application in Biofeedback Training for Low-Vision Rehabilitation</t>
  </si>
  <si>
    <t>Seminars in Ophthalmology</t>
  </si>
  <si>
    <t>Central vision loss (CVL) caused by macular damage generally disables common daily tasks, which cannot be reversed by present treatments. Fortunately, it has been found that biofeedback training by inducing or reinforcing preferred retinal locus (PRL) as an eccentric fixation reference contributes to the improvement of visual performance in patients with CVL. However, the clinical application is still under controversy due to poor knowledge of its fundamental and inconsistent practical standards. This article aims to summarize the possible rationale for the development, location, re-location and evaluating indicators of PRL, and the general apparatus, protocol, and outcome of biofeedback PRL training.</t>
  </si>
  <si>
    <t>JA2GLWLX</t>
  </si>
  <si>
    <t>Review/opinion/editorial</t>
  </si>
  <si>
    <t>Narrative review of PRL biofeedback training</t>
  </si>
  <si>
    <t>Gothwal, Vijaya K. et al.</t>
  </si>
  <si>
    <t>Andhra Pradesh Eye Disease Study - Visual Function Questionnaire: further improvements in psychometric properties using Rasch analysis.</t>
  </si>
  <si>
    <t>Ophthalmic epidemiology</t>
  </si>
  <si>
    <t>PURPOSE: Previous Rasch analysis of the Andhra Pradesh Eye Disease Study-Visual Function Questionnaire (APEDS-VFQ) lacked comprehensiveness, specifically,  dimensionality (whether it measures single/multiple constructs). Therefore, using  the Rasch model this study provides a detailed assessment of psychometric  properties of the APEDS-VFQ. METHODS: A total of 351 visually impaired adults  (mean age, 43.3 years) were verbally administered the APEDS-VFQ. Rasch analysis  was used to assess the psychometric properties of the instrument. RESULTS:  Participants could distinguish only three categories of difficulty, so response  categories were reduced from five to three. A single item ("reading small prints  in newspaper/magazines", infit mean square 1.54) misfit the model. The overall  pattern of fit statistics for item and person measures suggested that the  underlying construct (visual ability) is not unidimensional. When the items were  grouped into subsets based on functional requirements (resolution, contrast  sensitivity, illumination and peripheral vision) and separate person measures  were estimated for each of these domains, the first principal component contained  the visual ability and accounted for 72% of the variance. Item measure  distributions could be divided into 18 strata, and item-separation reliability  was 0.99. Person measures could be divided into three statistically distinct  strata and the person-separation reliability was 0.81. CONCLUSIONS: The APEDS-VFQ  is a precise measure of visual ability in visually impaired adults in India.  Similar to other visual function questionnaires developed for the Western  population, our results demonstrate that visual ability is a two-factor composite  latent variable; one dimension heavily influences reading and the other most  heavily influences peripheral vision (mobility).</t>
  </si>
  <si>
    <t>4SF3BURR</t>
  </si>
  <si>
    <t>Maybe</t>
  </si>
  <si>
    <t>Rasch validation of a visual function questionnaire (APEDS-VFQ) in VI adults; possible for instrument table</t>
  </si>
  <si>
    <t>Lai, Krystal Y. et al.</t>
  </si>
  <si>
    <t>Assessment of Eye Disease and Visual Impairment in the Nursing Home Population Using Mobile Health Technology</t>
  </si>
  <si>
    <t>Ophthalmic Surgery, Lasers and Imaging Retina</t>
  </si>
  <si>
    <t>BACKGROUND AND OBJECTIVE:               To characterize the burden of eye disease and the utility of teleophthalmology in nursing home patients, a population with ophthalmic needs not commensurate with care received.                                         PATIENTS AND METHODS:               Informed consent was obtained from 78 California Bay Area skilled nursing facility patients. Near visual acuity (VA) and anterior/posterior segment photographs were taken with a smartphone-based VA app and ophthalmic camera system. The Nursing Home Vision-Targeted Health-Related Quality of Life questionnaire was also administered. Risk factors for visual impairment were assessed. Institutional review board approval was obtained from Stanford University.                                         RESULTS:                                Cataracts (51%), diabetic retinopathy (DR) (12%), optic neuropathy (12%), and age-related macular degeneration (AMD) (10%) were common findings; 11.7% had other referral-warranted findings. AMD and DR correlated with a higher risk of poor VA, with adjusted odds ratios of 22 (                 P                 = .01) and 43 (                 P                 = .004).                                                        CONCLUSIONS:               This study demonstrated a high prevalence of poor VA and ophthalmic disease in the nursing home population impacting quality of life. Smartphone-based teleophthalmology platforms have the potential to increase access to eye care for nursing home patients.                                                   [                   Ophthalmic Surg Lasers Imaging Retina.                   2020;51:262–270.]</t>
  </si>
  <si>
    <t>DZTRXQKR</t>
  </si>
  <si>
    <t>Teleophthalmology in nursing homes; questionnaire not validated against vision</t>
  </si>
  <si>
    <t>Alves, Cássia Cristiane De Freitas et al.</t>
  </si>
  <si>
    <t>Assistive technology applied to education of students with visual impairment</t>
  </si>
  <si>
    <t>Revista Panamericana de Salud Pública</t>
  </si>
  <si>
    <t>Objectives.Verify  the  application  of  assistive  technology,  especially  information  technol-ogy in the education of blind and low-vision students from the perceptions of their teachers.Methods.Descriptive survey study in public schools in three municipalities of the state ofSão Paulo, Brazil. The sample comprised 134 teachers.Results.According to the teachers’ opinions, there are differences in the specificities and ap-plicability of assistive technology for blind and low-vision students, for whom specific computerprograms are important. Information technology enhances reading and writing skills, as wellas communication with the world on an equal basis, thereby improving quality of life and facil-itating the learning process. The main reason for not using information technology is the lackof planning courses. The main requirements for the use of information technology in schools areenough computers for all students, advisers to help teachers, and pedagogical support.Conclusions.Assistive technology is applied to education of students with visual impair-ment;  however,  teachers  indicate  the  need  for  infrastructure  and  pedagogical  support.  Infor-mation technology is an important tool in the inclusion process and can promote independenceand autonomy of students with visual impairment.</t>
  </si>
  <si>
    <t>JXNHNL89</t>
  </si>
  <si>
    <t>Teachers of students with VI</t>
  </si>
  <si>
    <t>Zhu, Zhuoting et al.</t>
  </si>
  <si>
    <t>Association of visual impairment with risk for future Parkinson's disease.</t>
  </si>
  <si>
    <t>EClinicalMedicine</t>
  </si>
  <si>
    <t>BACKGROUND: Although visual dysfunction is one of the most common non-motor symptoms among patients with Parkinson's disease (PD), it is not known whether  visual impairment (VI) predates the onset of clinical PD. Therefore, we aim to  examine the association of VI with the future development of PD in the UK Biobank  Study. METHODS: The UK Biobank Study is one of the largest cohort studies of  health, enrolling over 500,000 participants aged 40-69 years between 2006 and  2010 across the UK. VI was defined as a habitual distance visual acuity (VA)  worse than 0·3 logarithm of the minimum angle of resolution (LogMAR) in the  better-seeing eye. Incident cases of PD were determined by self report data,  hospital admission records or death records, whichever came first. Multivariable  Cox proportional hazard regression models were used to investigate the  association between VI and the risk of incident PD. FINDINGS: A total of 117,050  participants were free of PD at the baseline assessment. During the median  observation period of 5·96 (IQR: 5·77-6·23) years, PD occurred in 222 (0·19%)  participants. Visually impaired participants were at a higher risk of developing  PD than non-VI participants (p &lt; 0·001). Compared with the non-VI group, the  adjusted hazard ratio was 2·28 (95% CI 1·29-4·05, p = 0·005) in the VI group.  These results were consistent in the sensitivity analysis, where incident PD  cases diagnosed within one year after the baseline assessment were excluded.  INTERPRETATION: This cohort study found that VI was associated with an increased  risk of incident PD, suggesting that VI may serve as a modifiable risk factor for  prevention of future PD.</t>
  </si>
  <si>
    <t>UQB6USLL</t>
  </si>
  <si>
    <t>Not about low vision/visual function</t>
  </si>
  <si>
    <t>VI as risk factor for Parkinson disease</t>
  </si>
  <si>
    <t>Chen, Xindi et al.</t>
  </si>
  <si>
    <t>Associations Between Visual Impairment and Homebound Status, Home Hazards, and Support Service Utilization: The National Health and Aging Trends Study</t>
  </si>
  <si>
    <t>American Journal of Ophthalmology</t>
  </si>
  <si>
    <t>Objective
To examine the association between visual impairment (VI) and (1) homebound status, (2) presence of home hazards, and (3) utilization of home-based long-term services and supports (LTSS) among older adults. Design: Longitudinal and cross-sectional analyses using National Health and Aging Trends Study (NHATS) data (2021–2023).
Subjects
A total of 3022 Medicare beneficiaries aged ≥71 years (mean age 78.8 years, 55.3% female) with complete data on homebound status and visual function.
Methods
VI was defined as impairment in distance visual acuity or near visual acuity (&lt;0.3 logMAR), or in contrast sensitivity (&lt;1.55 logCS). Homebound status was classified as homebound, semi-homebound, or non-homebound based on frequency and difficulty leaving home. Home hazards (peeling paint, broken furniture, flooring damage, and tripping hazards) were documented during in-home visits. LTSS utilization encompassed assistive devices, home modifications, transportation services, senior housing, meal delivery, paid care, and high-burden family caregiving. Regression models (logistic and Cox proportional hazards) assessed cross-sectional and longitudinal relationships between VI – its presence, severity, and rate of decline – and outcomes.
Main Outcome Measures
Presence or transition to homebound or semi-homebound status, presence of home safety hazards, and utilization of home-based LTSS.
Results
Among 3,022 participants (mean age 78.8 years, 55.3% female), 5.7% were homebound, and 14.4% semi-homebound. The presence of any VI was associated with a higher likelihood of both being (OR = 1.52, 95% CI: 1.17-1.98, P = .002) and becoming homebound or semi-homebound (HR = 1.35, 95% CI: 1.04-1.74, P = .02). Participants meeting all three VI criteria had an even higher risk (HR = 1.86, 95% CI: 1.35-2.58, P &lt; .001). Individuals with VI were more likely to have home hazards (OR = 1.88, 95% CI: 1.32-2.69, P = .001) and utilize home-based LTSS (OR = 1.35, 95% CI: 1.10-1.66, p = 0.005).
Conclusions
VI is a significant risk factor for being and becoming homebound in older adults, with increasing severity and breadth of VI compounding this risk. Individuals with VI also face greater home hazards and require more home-based LTSS, suggesting challenges maintaining home safety and functionality as they become more confined to the home. Early vision interventions, comprehensive home safety assessments, and targeted LTSS may be important preventive strategies for maintaining independence in visually impaired older adults.</t>
  </si>
  <si>
    <t>GZI4IKS9</t>
  </si>
  <si>
    <t>VI and homebound status; no screening questionnaire evaluated</t>
  </si>
  <si>
    <t>Qin, Jingshuang et al.</t>
  </si>
  <si>
    <t>Associations between cMIND diet, mold exposure, and visual impairment among older adults in China: a national cross-sectional study.</t>
  </si>
  <si>
    <t>Frontiers in nutrition</t>
  </si>
  <si>
    <t>BACKGROUND: Visual impairment poses a major challenge to healthy ageing, and its occurrence may be related to both dietary factors and the indoor environment.  However, evidence regarding the associations of the Chinese version of the  Mediterranean-Dietary Approaches to Stop Hypertension Intervention for  Neurodegenerative Delay (cMIND) diet and mold exposure with visual impairment  remains limited. METHODS: This study included 14031 participants aged ≥ 65 years  from the 2018 wave of the Chinese Longitudinal Healthy Longevity Survey (CLHLS).  The cMIND diet score was calculated based on a validated questionnaire, and mold  exposure was defined based on self-reported frequent perception of musty odors at  home. Visual impairment was defined based on responses to a visual function  assessment. We used multivariable logistic regression analyses to assess the  independent and joint associations of the cMIND diet and mold exposure with  visual impairment. RESULTS: Among the participants, the median age was 85.00  years, and 35.97% had visual impairment. For every 1-point increase in the cMIND  diet score, lower odds of visual impairment were observed (OR = 0.91, 95% CI:  0.88-0.94), whereas mold exposure was associated with higher odds (OR = 1.19, 95%  CI: 1.04-1.35). A linear inverse association was observed between the cMIND diet  score and visual impairment. Joint analysis showed the highest odds of visual  impairment among participants with both low cMIND diet scores and mold exposure  (OR = 1.68, 95% CI: 1.38-2.05). Findings were robust in sensitivity analyses.  CONCLUSION: Independent and joint associations of the cMIND diet and mold  exposure with visual impairment were observed among older adults, highlighting  the potential importance of dietary and indoor environmental factors for visual  health.</t>
  </si>
  <si>
    <t>RVL4ARNG</t>
  </si>
  <si>
    <t>Diet and mould exposure as VI risk factors</t>
  </si>
  <si>
    <t>Other (see notes)</t>
  </si>
  <si>
    <t>Flow diagram numbers</t>
  </si>
  <si>
    <t>Records identified – PubMed</t>
  </si>
  <si>
    <t>Source: your search log (4 Oct 2026)</t>
  </si>
  <si>
    <t>Records identified – Scopus</t>
  </si>
  <si>
    <t>Total records identified</t>
  </si>
  <si>
    <t>Duplicates removed</t>
  </si>
  <si>
    <t>Records screened (title/abstract)</t>
  </si>
  <si>
    <t xml:space="preserve">  Screened so far</t>
  </si>
  <si>
    <t xml:space="preserve">  Excluded at title/abstract</t>
  </si>
  <si>
    <t xml:space="preserve">  Included + Maybe → full text</t>
  </si>
  <si>
    <t>Full texts assessed</t>
  </si>
  <si>
    <t xml:space="preserve">  Excluded at full text</t>
  </si>
  <si>
    <t>Studies included</t>
  </si>
  <si>
    <t>Exclusion reasons</t>
  </si>
  <si>
    <t>Title/abstract</t>
  </si>
  <si>
    <t>Full text</t>
  </si>
  <si>
    <t>Conference abstract only</t>
  </si>
  <si>
    <t>Language (not English/French)</t>
  </si>
  <si>
    <t>Full text not available</t>
  </si>
  <si>
    <t>Check: your decisions vs AI suggestions</t>
  </si>
  <si>
    <t>Rows where you agreed with the AI</t>
  </si>
  <si>
    <t>Rows where you changed the AI decision</t>
  </si>
  <si>
    <t>Decisions</t>
  </si>
  <si>
    <t>Full-text decisions</t>
  </si>
  <si>
    <t>Social Support Provided To High School Students With Visual Impairments By Their Sighted Classmates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</si>
</sst>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4"/>
      <name val="Arial"/>
      <family val="2"/>
      <charset val="1"/>
    </font>
    <font>
      <b/>
      <sz val="11"/>
      <name val="Arial"/>
      <family val="2"/>
      <charset val="1"/>
    </font>
    <font>
      <sz val="11"/>
      <name val="Arial"/>
      <family val="2"/>
      <charset val="1"/>
    </font>
    <font>
      <b/>
      <sz val="11"/>
      <name val="Arial"/>
      <family val="2"/>
    </font>
    <font>
      <sz val="11"/>
      <name val="Arial"/>
      <family val="2"/>
    </font>
    <font>
      <b/>
      <sz val="11"/>
      <color rgb="FFFFFFFF"/>
      <name val="Arial"/>
      <family val="2"/>
      <charset val="1"/>
    </font>
    <font>
      <b/>
      <sz val="11"/>
      <color rgb="FFFFFFFF"/>
      <name val="Arial"/>
      <family val="2"/>
    </font>
    <font>
      <sz val="10"/>
      <name val="Arial"/>
      <family val="2"/>
      <charset val="1"/>
    </font>
    <font>
      <u/>
      <sz val="10"/>
      <color rgb="FF0563C1"/>
      <name val="Arial"/>
      <family val="2"/>
      <charset val="1"/>
    </font>
    <font>
      <sz val="10"/>
      <name val="Arial"/>
      <family val="2"/>
    </font>
    <font>
      <i/>
      <sz val="10"/>
      <color theme="1"/>
      <name val="Arial"/>
      <family val="2"/>
      <charset val="1"/>
    </font>
    <font>
      <b/>
      <sz val="12"/>
      <name val="Arial"/>
      <family val="2"/>
      <charset val="1"/>
    </font>
    <font>
      <sz val="11"/>
      <color rgb="FF0000FF"/>
      <name val="Arial"/>
      <family val="2"/>
      <charset val="1"/>
    </font>
    <font>
      <i/>
      <sz val="11"/>
      <color rgb="FF808080"/>
      <name val="Arial"/>
      <family val="2"/>
      <charset val="1"/>
    </font>
    <font>
      <sz val="11"/>
      <color rgb="FF000000"/>
      <name val="Arial"/>
      <family val="2"/>
      <charset val="1"/>
    </font>
    <font>
      <b/>
      <sz val="11"/>
      <color rgb="FF000000"/>
      <name val="Arial"/>
      <family val="2"/>
      <charset val="1"/>
    </font>
    <font>
      <b/>
      <sz val="12"/>
      <name val="Arial"/>
      <family val="2"/>
    </font>
  </fonts>
  <fills count="6">
    <fill>
      <patternFill patternType="none"/>
    </fill>
    <fill>
      <patternFill patternType="gray125"/>
    </fill>
    <fill>
      <patternFill patternType="solid">
        <fgColor rgb="FF1F3864"/>
        <bgColor rgb="FF333333"/>
      </patternFill>
    </fill>
    <fill>
      <patternFill patternType="solid">
        <fgColor rgb="FF595959"/>
        <bgColor rgb="FF333333"/>
      </patternFill>
    </fill>
    <fill>
      <patternFill patternType="solid">
        <fgColor rgb="FFFFF2CC"/>
        <bgColor rgb="FFEDEDED"/>
      </patternFill>
    </fill>
    <fill>
      <patternFill patternType="solid">
        <fgColor rgb="FFEDEDED"/>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xf numFmtId="0" fontId="2" fillId="0" borderId="0" xfId="0" applyFont="1" applyAlignment="1">
      <alignment vertical="top"/>
    </xf>
    <xf numFmtId="0" fontId="3" fillId="0" borderId="0" xfId="0" applyFont="1" applyAlignment="1">
      <alignment vertical="top" wrapText="1"/>
    </xf>
    <xf numFmtId="0" fontId="3" fillId="0" borderId="0" xfId="0" applyFont="1" applyAlignment="1">
      <alignment vertical="top"/>
    </xf>
    <xf numFmtId="0" fontId="4" fillId="0" borderId="0" xfId="0" applyFont="1"/>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0" applyFont="1" applyBorder="1" applyAlignment="1">
      <alignment vertical="top" wrapText="1"/>
    </xf>
    <xf numFmtId="0" fontId="9" fillId="0" borderId="1" xfId="0" applyFont="1" applyBorder="1" applyAlignment="1">
      <alignment vertical="top" wrapText="1"/>
    </xf>
    <xf numFmtId="0" fontId="8" fillId="4" borderId="1" xfId="0" applyFont="1" applyFill="1" applyBorder="1" applyAlignment="1">
      <alignment vertical="top" wrapText="1"/>
    </xf>
    <xf numFmtId="0" fontId="10" fillId="5" borderId="1" xfId="0" applyFont="1" applyFill="1" applyBorder="1" applyAlignment="1">
      <alignment vertical="top" wrapText="1"/>
    </xf>
    <xf numFmtId="0" fontId="11" fillId="0" borderId="1" xfId="0" applyFont="1" applyBorder="1" applyAlignment="1">
      <alignment vertical="top" wrapText="1"/>
    </xf>
    <xf numFmtId="0" fontId="12" fillId="0" borderId="0" xfId="0" applyFont="1"/>
    <xf numFmtId="0" fontId="3" fillId="0" borderId="0" xfId="0" applyFont="1"/>
    <xf numFmtId="0" fontId="13" fillId="0" borderId="0" xfId="0" applyFont="1"/>
    <xf numFmtId="0" fontId="14" fillId="0" borderId="0" xfId="0" applyFont="1"/>
    <xf numFmtId="0" fontId="15" fillId="0" borderId="0" xfId="0" applyFont="1"/>
    <xf numFmtId="0" fontId="2" fillId="0" borderId="0" xfId="0" applyFont="1"/>
    <xf numFmtId="0" fontId="16" fillId="0" borderId="0" xfId="0" applyFont="1"/>
    <xf numFmtId="0" fontId="17" fillId="0" borderId="0" xfId="0" applyFont="1"/>
    <xf numFmtId="0" fontId="5" fillId="0" borderId="0" xfId="0" applyFont="1"/>
  </cellXfs>
  <cellStyles count="1">
    <cellStyle name="Normal" xfId="0" builtinId="0"/>
  </cellStyles>
  <dxfs count="9">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1093/ageing/afx202" TargetMode="External"/><Relationship Id="rId117" Type="http://schemas.openxmlformats.org/officeDocument/2006/relationships/hyperlink" Target="https://doi.org/10.1097/OPX.0b013e31817882db" TargetMode="External"/><Relationship Id="rId21" Type="http://schemas.openxmlformats.org/officeDocument/2006/relationships/hyperlink" Target="https://doi.org/10.3109/09638288.2012.737085" TargetMode="External"/><Relationship Id="rId42" Type="http://schemas.openxmlformats.org/officeDocument/2006/relationships/hyperlink" Target="https://doi.org/10.1016/j.ajoint.2024.100091" TargetMode="External"/><Relationship Id="rId47" Type="http://schemas.openxmlformats.org/officeDocument/2006/relationships/hyperlink" Target="https://doi.org/10.1007/s11136-008-9336-3" TargetMode="External"/><Relationship Id="rId63" Type="http://schemas.openxmlformats.org/officeDocument/2006/relationships/hyperlink" Target="https://doi.org/10.1167/iovs.05-1319" TargetMode="External"/><Relationship Id="rId68" Type="http://schemas.openxmlformats.org/officeDocument/2006/relationships/hyperlink" Target="https://doi.org/10.1097/OPX.0000000000001327" TargetMode="External"/><Relationship Id="rId84" Type="http://schemas.openxmlformats.org/officeDocument/2006/relationships/hyperlink" Target="https://doi.org/10.1097/OPX.0000000000000005" TargetMode="External"/><Relationship Id="rId89" Type="http://schemas.openxmlformats.org/officeDocument/2006/relationships/hyperlink" Target="https://doi.org/10.1055/s-0031-1285908" TargetMode="External"/><Relationship Id="rId112" Type="http://schemas.openxmlformats.org/officeDocument/2006/relationships/hyperlink" Target="https://doi.org/10.1371/journal.pone.0293904" TargetMode="External"/><Relationship Id="rId16" Type="http://schemas.openxmlformats.org/officeDocument/2006/relationships/hyperlink" Target="https://doi.org/10.1111/opo.12440" TargetMode="External"/><Relationship Id="rId107" Type="http://schemas.openxmlformats.org/officeDocument/2006/relationships/hyperlink" Target="https://doi.org/10.1371/journal.pone.0214290" TargetMode="External"/><Relationship Id="rId11" Type="http://schemas.openxmlformats.org/officeDocument/2006/relationships/hyperlink" Target="https://link.springer.com/10.1007/978-3-031-42682-7_47" TargetMode="External"/><Relationship Id="rId32" Type="http://schemas.openxmlformats.org/officeDocument/2006/relationships/hyperlink" Target="https://doi.org/10.1016/j.ophtha.2013.09.042" TargetMode="External"/><Relationship Id="rId37" Type="http://schemas.openxmlformats.org/officeDocument/2006/relationships/hyperlink" Target="https://doi.org/10.1177/23969873251314693" TargetMode="External"/><Relationship Id="rId53" Type="http://schemas.openxmlformats.org/officeDocument/2006/relationships/hyperlink" Target="https://doi.org/10.1016/j.ajo.2025.08.051" TargetMode="External"/><Relationship Id="rId58" Type="http://schemas.openxmlformats.org/officeDocument/2006/relationships/hyperlink" Target="https://doi.org/10.1080/09638280410001662950" TargetMode="External"/><Relationship Id="rId74" Type="http://schemas.openxmlformats.org/officeDocument/2006/relationships/hyperlink" Target="https://doi.org/10.21037/aes-21-37" TargetMode="External"/><Relationship Id="rId79" Type="http://schemas.openxmlformats.org/officeDocument/2006/relationships/hyperlink" Target="https://doi.org/10.1016/j.apergo.2012.11.006" TargetMode="External"/><Relationship Id="rId102" Type="http://schemas.openxmlformats.org/officeDocument/2006/relationships/hyperlink" Target="https://doi.org/10.1167/iovs.12-9580" TargetMode="External"/><Relationship Id="rId5" Type="http://schemas.openxmlformats.org/officeDocument/2006/relationships/hyperlink" Target="https://doi.org/10.3109/09286586.2012.712192" TargetMode="External"/><Relationship Id="rId90" Type="http://schemas.openxmlformats.org/officeDocument/2006/relationships/hyperlink" Target="https://doi.org/10.1167/iovs.06-0566" TargetMode="External"/><Relationship Id="rId95" Type="http://schemas.openxmlformats.org/officeDocument/2006/relationships/hyperlink" Target="https://doi.org/10.3233/JAD-221073" TargetMode="External"/><Relationship Id="rId22" Type="http://schemas.openxmlformats.org/officeDocument/2006/relationships/hyperlink" Target="https://doi.org/10.1016/j.ophtha.2024.06.009" TargetMode="External"/><Relationship Id="rId27" Type="http://schemas.openxmlformats.org/officeDocument/2006/relationships/hyperlink" Target="https://doi.org/10.18240/ijo.2026.05.19" TargetMode="External"/><Relationship Id="rId43" Type="http://schemas.openxmlformats.org/officeDocument/2006/relationships/hyperlink" Target="https://doi.org/10.1016/j.jad.2017.04.014" TargetMode="External"/><Relationship Id="rId48" Type="http://schemas.openxmlformats.org/officeDocument/2006/relationships/hyperlink" Target="https://doi.org/10.1080/02713683.2021.1896740" TargetMode="External"/><Relationship Id="rId64" Type="http://schemas.openxmlformats.org/officeDocument/2006/relationships/hyperlink" Target="https://doi.org/10.1016/j.visres.2013.02.015" TargetMode="External"/><Relationship Id="rId69" Type="http://schemas.openxmlformats.org/officeDocument/2006/relationships/hyperlink" Target="https://doi.org/10.1167/iovs.15-16892" TargetMode="External"/><Relationship Id="rId113" Type="http://schemas.openxmlformats.org/officeDocument/2006/relationships/hyperlink" Target="https://doi.org/10.1016/j.optom.2021.01.004" TargetMode="External"/><Relationship Id="rId118" Type="http://schemas.openxmlformats.org/officeDocument/2006/relationships/hyperlink" Target="https://doi.org/10.1186/s12877-025-05747-6" TargetMode="External"/><Relationship Id="rId80" Type="http://schemas.openxmlformats.org/officeDocument/2006/relationships/hyperlink" Target="https://doi.org/10.5301/ejo.5000972" TargetMode="External"/><Relationship Id="rId85" Type="http://schemas.openxmlformats.org/officeDocument/2006/relationships/hyperlink" Target="https://doi.org/10.5014/ajot.2020.038307" TargetMode="External"/><Relationship Id="rId12" Type="http://schemas.openxmlformats.org/officeDocument/2006/relationships/hyperlink" Target="https://doi.org/10.1001/archophthalmol.2012.1197" TargetMode="External"/><Relationship Id="rId17" Type="http://schemas.openxmlformats.org/officeDocument/2006/relationships/hyperlink" Target="https://doi.org/10.1001/jamaophthalmol.2015.0693" TargetMode="External"/><Relationship Id="rId33" Type="http://schemas.openxmlformats.org/officeDocument/2006/relationships/hyperlink" Target="https://doi.org/10.1001/jamaophthalmol.2018.0797" TargetMode="External"/><Relationship Id="rId38" Type="http://schemas.openxmlformats.org/officeDocument/2006/relationships/hyperlink" Target="https://doi.org/10.1682/jrrd.2004.07.0080" TargetMode="External"/><Relationship Id="rId59" Type="http://schemas.openxmlformats.org/officeDocument/2006/relationships/hyperlink" Target="https://doi.org/10.1186/s12889-025-25648-y" TargetMode="External"/><Relationship Id="rId103" Type="http://schemas.openxmlformats.org/officeDocument/2006/relationships/hyperlink" Target="https://doi.org/10.1080/10803548.2019.1613811" TargetMode="External"/><Relationship Id="rId108" Type="http://schemas.openxmlformats.org/officeDocument/2006/relationships/hyperlink" Target="https://doi.org/10.1016/j.vhri.2025.101498" TargetMode="External"/><Relationship Id="rId54" Type="http://schemas.openxmlformats.org/officeDocument/2006/relationships/hyperlink" Target="https://doi.org/10.4103/ijo.IJO_2625_20" TargetMode="External"/><Relationship Id="rId70" Type="http://schemas.openxmlformats.org/officeDocument/2006/relationships/hyperlink" Target="https://doi.org/10.1177/0145482X0409800502" TargetMode="External"/><Relationship Id="rId75" Type="http://schemas.openxmlformats.org/officeDocument/2006/relationships/hyperlink" Target="https://doi.org/10.1097/00006324-200207000-00009" TargetMode="External"/><Relationship Id="rId91" Type="http://schemas.openxmlformats.org/officeDocument/2006/relationships/hyperlink" Target="https://doi.org/10.4274/tjo.galenos.2021.73368" TargetMode="External"/><Relationship Id="rId96" Type="http://schemas.openxmlformats.org/officeDocument/2006/relationships/hyperlink" Target="https://doi.org/10.1097/OPX.0000000000001262" TargetMode="External"/><Relationship Id="rId1" Type="http://schemas.openxmlformats.org/officeDocument/2006/relationships/hyperlink" Target="https://www.researchgate.net/publication/311575981_Social_Support_Provided_To_High_School_Students_With_Visual_Impairments_By_Their_Sighted_Classmates" TargetMode="External"/><Relationship Id="rId6" Type="http://schemas.openxmlformats.org/officeDocument/2006/relationships/hyperlink" Target="https://doi.org/10.3928/23258160-20200501-03" TargetMode="External"/><Relationship Id="rId23" Type="http://schemas.openxmlformats.org/officeDocument/2006/relationships/hyperlink" Target="https://doi.org/10.1111/opo.12665" TargetMode="External"/><Relationship Id="rId28" Type="http://schemas.openxmlformats.org/officeDocument/2006/relationships/hyperlink" Target="https://doi.org/10.1097/OPX.0b013e3181b180a6" TargetMode="External"/><Relationship Id="rId49" Type="http://schemas.openxmlformats.org/officeDocument/2006/relationships/hyperlink" Target="https://doi.org/10.1016/j.ics.2005.05.155" TargetMode="External"/><Relationship Id="rId114" Type="http://schemas.openxmlformats.org/officeDocument/2006/relationships/hyperlink" Target="https://doi.org/10.1111/j.1444-0938.2007.00120.x" TargetMode="External"/><Relationship Id="rId119" Type="http://schemas.openxmlformats.org/officeDocument/2006/relationships/hyperlink" Target="https://doi.org/10.1038/s41433-025-03777-3" TargetMode="External"/><Relationship Id="rId10" Type="http://schemas.openxmlformats.org/officeDocument/2006/relationships/hyperlink" Target="https://doi.org/10.3389/fnut.2026.1851210" TargetMode="External"/><Relationship Id="rId31" Type="http://schemas.openxmlformats.org/officeDocument/2006/relationships/hyperlink" Target="https://doi.org/10.1371/journal.pone.0310592" TargetMode="External"/><Relationship Id="rId44" Type="http://schemas.openxmlformats.org/officeDocument/2006/relationships/hyperlink" Target="https://doi.org/10.1109/JBHI.2025.3529288" TargetMode="External"/><Relationship Id="rId52" Type="http://schemas.openxmlformats.org/officeDocument/2006/relationships/hyperlink" Target="https://doi.org/10.1371/journal.pone.0294326" TargetMode="External"/><Relationship Id="rId60" Type="http://schemas.openxmlformats.org/officeDocument/2006/relationships/hyperlink" Target="https://doi.org/10.4103/aam.aam_329_25" TargetMode="External"/><Relationship Id="rId65" Type="http://schemas.openxmlformats.org/officeDocument/2006/relationships/hyperlink" Target="https://doi.org/10.1167/iovs.66.2.39" TargetMode="External"/><Relationship Id="rId73" Type="http://schemas.openxmlformats.org/officeDocument/2006/relationships/hyperlink" Target="https://doi.org/10.1007/s10484-018-9423-3" TargetMode="External"/><Relationship Id="rId78" Type="http://schemas.openxmlformats.org/officeDocument/2006/relationships/hyperlink" Target="https://doi.org/10.1139/I06-027" TargetMode="External"/><Relationship Id="rId81" Type="http://schemas.openxmlformats.org/officeDocument/2006/relationships/hyperlink" Target="https://doi.org/10.3109/02703181.2013.813619" TargetMode="External"/><Relationship Id="rId86" Type="http://schemas.openxmlformats.org/officeDocument/2006/relationships/hyperlink" Target="https://doi.org/10.1167/iovs.10-6644" TargetMode="External"/><Relationship Id="rId94" Type="http://schemas.openxmlformats.org/officeDocument/2006/relationships/hyperlink" Target="https://doi.org/10.1007/s40123-022-00600-0" TargetMode="External"/><Relationship Id="rId99" Type="http://schemas.openxmlformats.org/officeDocument/2006/relationships/hyperlink" Target="https://doi.org/10.1167/tvst.13.10.2" TargetMode="External"/><Relationship Id="rId101" Type="http://schemas.openxmlformats.org/officeDocument/2006/relationships/hyperlink" Target="https://doi.org/10.1097/OPX.0000000000000314" TargetMode="External"/><Relationship Id="rId4" Type="http://schemas.openxmlformats.org/officeDocument/2006/relationships/hyperlink" Target="https://doi.org/10.1080/08820538.2021.1931355" TargetMode="External"/><Relationship Id="rId9" Type="http://schemas.openxmlformats.org/officeDocument/2006/relationships/hyperlink" Target="https://doi.org/10.1016/j.ajo.2025.09.005" TargetMode="External"/><Relationship Id="rId13" Type="http://schemas.openxmlformats.org/officeDocument/2006/relationships/hyperlink" Target="https://doi.org/10.1111/opo.12646" TargetMode="External"/><Relationship Id="rId18" Type="http://schemas.openxmlformats.org/officeDocument/2006/relationships/hyperlink" Target="https://doi.org/10.1348/135910707X209835" TargetMode="External"/><Relationship Id="rId39" Type="http://schemas.openxmlformats.org/officeDocument/2006/relationships/hyperlink" Target="https://doi.org/10.2196/74164" TargetMode="External"/><Relationship Id="rId109" Type="http://schemas.openxmlformats.org/officeDocument/2006/relationships/hyperlink" Target="https://doi.org/10.1016/j.oftal.2019.02.004" TargetMode="External"/><Relationship Id="rId34" Type="http://schemas.openxmlformats.org/officeDocument/2006/relationships/hyperlink" Target="https://doi.org/10.1080/09273948.2020.1770297" TargetMode="External"/><Relationship Id="rId50" Type="http://schemas.openxmlformats.org/officeDocument/2006/relationships/hyperlink" Target="https://doi.org/10.3233/JPD-213143" TargetMode="External"/><Relationship Id="rId55" Type="http://schemas.openxmlformats.org/officeDocument/2006/relationships/hyperlink" Target="https://doi.org/10.1007/s40520-022-02296-5" TargetMode="External"/><Relationship Id="rId76" Type="http://schemas.openxmlformats.org/officeDocument/2006/relationships/hyperlink" Target="https://doi.org/10.1167/iovs.18-24032" TargetMode="External"/><Relationship Id="rId97" Type="http://schemas.openxmlformats.org/officeDocument/2006/relationships/hyperlink" Target="https://doi.org/10.3389/fnhum.2022.727565" TargetMode="External"/><Relationship Id="rId104" Type="http://schemas.openxmlformats.org/officeDocument/2006/relationships/hyperlink" Target="https://doi.org/10.1016/S0161-6420(02)01742-6" TargetMode="External"/><Relationship Id="rId120" Type="http://schemas.openxmlformats.org/officeDocument/2006/relationships/hyperlink" Target="https://doi.org/10.1167/iovs.13-13520" TargetMode="External"/><Relationship Id="rId7" Type="http://schemas.openxmlformats.org/officeDocument/2006/relationships/hyperlink" Target="https://doi.org/10.1590/S1020-49892009000800007" TargetMode="External"/><Relationship Id="rId71" Type="http://schemas.openxmlformats.org/officeDocument/2006/relationships/hyperlink" Target="https://doi.org/10.1186/s12877-015-0062-8" TargetMode="External"/><Relationship Id="rId92" Type="http://schemas.openxmlformats.org/officeDocument/2006/relationships/hyperlink" Target="https://doi.org/10.1167/iovs.05-0137" TargetMode="External"/><Relationship Id="rId2" Type="http://schemas.openxmlformats.org/officeDocument/2006/relationships/hyperlink" Target="https://doi.org/10.1016/j.clae.2019.11.015" TargetMode="External"/><Relationship Id="rId29" Type="http://schemas.openxmlformats.org/officeDocument/2006/relationships/hyperlink" Target="https://doi.org/10.1097/OPX.0000000000002236" TargetMode="External"/><Relationship Id="rId24" Type="http://schemas.openxmlformats.org/officeDocument/2006/relationships/hyperlink" Target="https://doi.org/10.1111/ajag.12159" TargetMode="External"/><Relationship Id="rId40" Type="http://schemas.openxmlformats.org/officeDocument/2006/relationships/hyperlink" Target="https://doi.org/10.24875/RMOE.M23000245" TargetMode="External"/><Relationship Id="rId45" Type="http://schemas.openxmlformats.org/officeDocument/2006/relationships/hyperlink" Target="https://doi.org/10.1167/iovs.10-7055" TargetMode="External"/><Relationship Id="rId66" Type="http://schemas.openxmlformats.org/officeDocument/2006/relationships/hyperlink" Target="https://doi.org/10.1001/jamaophthalmol.2023.2854" TargetMode="External"/><Relationship Id="rId87" Type="http://schemas.openxmlformats.org/officeDocument/2006/relationships/hyperlink" Target="https://doi.org/10.3389/fnhum.2020.595890" TargetMode="External"/><Relationship Id="rId110" Type="http://schemas.openxmlformats.org/officeDocument/2006/relationships/hyperlink" Target="https://doi.org/10.1167/tvst.14.7.17" TargetMode="External"/><Relationship Id="rId115" Type="http://schemas.openxmlformats.org/officeDocument/2006/relationships/hyperlink" Target="https://doi.org/10.1518/001872005774859953" TargetMode="External"/><Relationship Id="rId61" Type="http://schemas.openxmlformats.org/officeDocument/2006/relationships/hyperlink" Target="https://doi.org/10.1136/bjophthalmol-2015-306621" TargetMode="External"/><Relationship Id="rId82" Type="http://schemas.openxmlformats.org/officeDocument/2006/relationships/hyperlink" Target="https://doi.org/10.1111/opo.12606" TargetMode="External"/><Relationship Id="rId19" Type="http://schemas.openxmlformats.org/officeDocument/2006/relationships/hyperlink" Target="https://doi.org/10.4274/tjo.galenos.2018.65928" TargetMode="External"/><Relationship Id="rId14" Type="http://schemas.openxmlformats.org/officeDocument/2006/relationships/hyperlink" Target="https://doi.org/10.1016/j.spen.2019.05.004" TargetMode="External"/><Relationship Id="rId30" Type="http://schemas.openxmlformats.org/officeDocument/2006/relationships/hyperlink" Target="https://doi.org/10.1359/JBMR.040504" TargetMode="External"/><Relationship Id="rId35" Type="http://schemas.openxmlformats.org/officeDocument/2006/relationships/hyperlink" Target="https://doi.org/10.1186/s12886-022-02419-6" TargetMode="External"/><Relationship Id="rId56" Type="http://schemas.openxmlformats.org/officeDocument/2006/relationships/hyperlink" Target="https://doi.org/10.1097/OPX.0000000000001812" TargetMode="External"/><Relationship Id="rId77" Type="http://schemas.openxmlformats.org/officeDocument/2006/relationships/hyperlink" Target="https://doi.org/10.1111/dmcn.70005" TargetMode="External"/><Relationship Id="rId100" Type="http://schemas.openxmlformats.org/officeDocument/2006/relationships/hyperlink" Target="https://doi.org/10.1177/1120672119852016" TargetMode="External"/><Relationship Id="rId105" Type="http://schemas.openxmlformats.org/officeDocument/2006/relationships/hyperlink" Target="https://doi.org/10.1007/s00417-009-1260-x" TargetMode="External"/><Relationship Id="rId8" Type="http://schemas.openxmlformats.org/officeDocument/2006/relationships/hyperlink" Target="https://doi.org/10.1016/j.eclinm.2021.101189" TargetMode="External"/><Relationship Id="rId51" Type="http://schemas.openxmlformats.org/officeDocument/2006/relationships/hyperlink" Target="https://doi.org/10.1371/journal.pone.0249052" TargetMode="External"/><Relationship Id="rId72" Type="http://schemas.openxmlformats.org/officeDocument/2006/relationships/hyperlink" Target="https://doi.org/10.1097/OPX.0b013e31812f5f24" TargetMode="External"/><Relationship Id="rId93" Type="http://schemas.openxmlformats.org/officeDocument/2006/relationships/hyperlink" Target="https://doi.org/10.1038/s41598-022-10952-z" TargetMode="External"/><Relationship Id="rId98" Type="http://schemas.openxmlformats.org/officeDocument/2006/relationships/hyperlink" Target="https://doi.org/10.1001/jamaophthalmol.2025.5057" TargetMode="External"/><Relationship Id="rId3" Type="http://schemas.openxmlformats.org/officeDocument/2006/relationships/hyperlink" Target="https://doi.org/10.1167/iovs.12-10404" TargetMode="External"/><Relationship Id="rId25" Type="http://schemas.openxmlformats.org/officeDocument/2006/relationships/hyperlink" Target="https://doi.org/10.1016/S0002-9394(00)00610-3" TargetMode="External"/><Relationship Id="rId46" Type="http://schemas.openxmlformats.org/officeDocument/2006/relationships/hyperlink" Target="https://doi.org/10.1111/opo.12362" TargetMode="External"/><Relationship Id="rId67" Type="http://schemas.openxmlformats.org/officeDocument/2006/relationships/hyperlink" Target="https://doi.org/10.1108/17506120910948511" TargetMode="External"/><Relationship Id="rId116" Type="http://schemas.openxmlformats.org/officeDocument/2006/relationships/hyperlink" Target="https://doi.org/10.1097/MD.0000000000019149" TargetMode="External"/><Relationship Id="rId20" Type="http://schemas.openxmlformats.org/officeDocument/2006/relationships/hyperlink" Target="https://doi.org/10.1002/14651858.CD001054.pub3" TargetMode="External"/><Relationship Id="rId41" Type="http://schemas.openxmlformats.org/officeDocument/2006/relationships/hyperlink" Target="https://doi.org/10.1080/10888438.2021.1969402" TargetMode="External"/><Relationship Id="rId62" Type="http://schemas.openxmlformats.org/officeDocument/2006/relationships/hyperlink" Target="https://doi.org/10.1007/s10484-009-9083-4" TargetMode="External"/><Relationship Id="rId83" Type="http://schemas.openxmlformats.org/officeDocument/2006/relationships/hyperlink" Target="https://doi.org/10.1111/ggi.12174" TargetMode="External"/><Relationship Id="rId88" Type="http://schemas.openxmlformats.org/officeDocument/2006/relationships/hyperlink" Target="https://doi.org/10.1167/iovs.67.1.28" TargetMode="External"/><Relationship Id="rId111" Type="http://schemas.openxmlformats.org/officeDocument/2006/relationships/hyperlink" Target="https://doi.org/10.1186/s12886-023-03219-2" TargetMode="External"/><Relationship Id="rId15" Type="http://schemas.openxmlformats.org/officeDocument/2006/relationships/hyperlink" Target="https://doi.org/10.1016/j.ogla.2021.03.005" TargetMode="External"/><Relationship Id="rId36" Type="http://schemas.openxmlformats.org/officeDocument/2006/relationships/hyperlink" Target="https://doi.org/10.1016/j.eclinm.2026.103858" TargetMode="External"/><Relationship Id="rId57" Type="http://schemas.openxmlformats.org/officeDocument/2006/relationships/hyperlink" Target="https://doi.org/10.3390/audiolres15060169" TargetMode="External"/><Relationship Id="rId106" Type="http://schemas.openxmlformats.org/officeDocument/2006/relationships/hyperlink" Target="https://doi.org/10.1177/2150131911429824" TargetMode="External"/><Relationship Id="rId121" Type="http://schemas.openxmlformats.org/officeDocument/2006/relationships/hyperlink" Target="https://doi.org/10.1167/tvst.13.9.20" TargetMode="External"/><Relationship Id="rId122" Type="http://schemas.openxmlformats.org/officeDocument/2006/relationships/hyperlink" Target="https://doi.org/10.1016/j.ogla.2023.04.007" TargetMode="External"/><Relationship Id="rId123" Type="http://schemas.openxmlformats.org/officeDocument/2006/relationships/hyperlink" Target="https://doi.org/10.3390/life16010012" TargetMode="External"/><Relationship Id="rId124" Type="http://schemas.openxmlformats.org/officeDocument/2006/relationships/hyperlink" Target="https://doi.org/10.1167/iovs.17-21520" TargetMode="External"/><Relationship Id="rId125" Type="http://schemas.openxmlformats.org/officeDocument/2006/relationships/hyperlink" Target="https://doi.org/10.1167/iovs.14-14138" TargetMode="External"/><Relationship Id="rId126" Type="http://schemas.openxmlformats.org/officeDocument/2006/relationships/hyperlink" Target="https://doi.org/10.1097/IJG.0000000000000600" TargetMode="External"/><Relationship Id="rId127" Type="http://schemas.openxmlformats.org/officeDocument/2006/relationships/hyperlink" Target="https://doi.org/10.1016/j.ophtha.2022.10.0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zoomScaleNormal="100" workbookViewId="0"/>
  </sheetViews>
  <sheetFormatPr baseColWidth="10" defaultColWidth="8.6640625" defaultRowHeight="15" x14ac:dyDescent="0.2"/>
  <cols>
    <col min="1" max="1" width="79.6640625" customWidth="1"/>
    <col min="2" max="2" width="100" customWidth="1"/>
  </cols>
  <sheetData>
    <row r="1" spans="1:2" ht="18" customHeight="1" x14ac:dyDescent="0.2">
      <c r="A1" s="1" t="s">
        <v>0</v>
      </c>
    </row>
    <row r="3" spans="1:2" x14ac:dyDescent="0.2">
      <c r="A3" s="2" t="s">
        <v>1</v>
      </c>
      <c r="B3" s="3"/>
    </row>
    <row r="4" spans="1:2" x14ac:dyDescent="0.2">
      <c r="A4" s="4" t="s">
        <v>2</v>
      </c>
      <c r="B4" s="3" t="s">
        <v>3</v>
      </c>
    </row>
    <row r="5" spans="1:2" x14ac:dyDescent="0.2">
      <c r="A5" s="4" t="s">
        <v>4</v>
      </c>
      <c r="B5" s="3" t="s">
        <v>5</v>
      </c>
    </row>
    <row r="6" spans="1:2" x14ac:dyDescent="0.2">
      <c r="A6" s="4" t="s">
        <v>6</v>
      </c>
      <c r="B6" s="3" t="s">
        <v>7</v>
      </c>
    </row>
    <row r="7" spans="1:2" x14ac:dyDescent="0.2">
      <c r="A7" s="4" t="s">
        <v>8</v>
      </c>
      <c r="B7" s="3" t="s">
        <v>9</v>
      </c>
    </row>
    <row r="8" spans="1:2" x14ac:dyDescent="0.2">
      <c r="A8" s="4" t="s">
        <v>10</v>
      </c>
      <c r="B8" s="3" t="s">
        <v>11</v>
      </c>
    </row>
    <row r="9" spans="1:2" x14ac:dyDescent="0.2">
      <c r="A9" s="4" t="s">
        <v>12</v>
      </c>
      <c r="B9" s="3" t="s">
        <v>13</v>
      </c>
    </row>
    <row r="10" spans="1:2" x14ac:dyDescent="0.2">
      <c r="A10" s="4" t="s">
        <v>14</v>
      </c>
      <c r="B10" s="3" t="s">
        <v>15</v>
      </c>
    </row>
    <row r="11" spans="1:2" x14ac:dyDescent="0.2">
      <c r="A11" s="4"/>
      <c r="B11" s="3"/>
    </row>
    <row r="12" spans="1:2" x14ac:dyDescent="0.2">
      <c r="A12" s="2" t="s">
        <v>16</v>
      </c>
      <c r="B12" s="3"/>
    </row>
    <row r="13" spans="1:2" ht="30" customHeight="1" x14ac:dyDescent="0.2">
      <c r="A13" s="4" t="s">
        <v>17</v>
      </c>
      <c r="B13" s="3" t="s">
        <v>18</v>
      </c>
    </row>
    <row r="14" spans="1:2" ht="30" customHeight="1" x14ac:dyDescent="0.2">
      <c r="A14" s="4" t="s">
        <v>19</v>
      </c>
      <c r="B14" s="3" t="s">
        <v>20</v>
      </c>
    </row>
    <row r="15" spans="1:2" x14ac:dyDescent="0.2">
      <c r="A15" s="4"/>
      <c r="B15" s="3"/>
    </row>
    <row r="16" spans="1:2" x14ac:dyDescent="0.2">
      <c r="A16" s="2" t="s">
        <v>21</v>
      </c>
      <c r="B16" s="3"/>
    </row>
    <row r="17" spans="1:2" x14ac:dyDescent="0.2">
      <c r="A17" s="4" t="s">
        <v>22</v>
      </c>
      <c r="B17" s="3" t="s">
        <v>19</v>
      </c>
    </row>
    <row r="18" spans="1:2" x14ac:dyDescent="0.2">
      <c r="A18" s="4" t="s">
        <v>23</v>
      </c>
      <c r="B18" s="3" t="s">
        <v>24</v>
      </c>
    </row>
    <row r="19" spans="1:2" x14ac:dyDescent="0.2">
      <c r="A19" s="4" t="s">
        <v>25</v>
      </c>
      <c r="B19" s="3" t="s">
        <v>26</v>
      </c>
    </row>
    <row r="21" spans="1:2" ht="30" x14ac:dyDescent="0.2">
      <c r="A21" s="5" t="s">
        <v>27</v>
      </c>
      <c r="B21" s="6" t="s">
        <v>28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
  <sheetViews>
    <sheetView tabSelected="1" zoomScaleNormal="100" workbookViewId="0">
      <pane xSplit="4" ySplit="1" topLeftCell="F33" activePane="bottomRight" state="frozen"/>
      <selection pane="topRight" activeCell="E1" sqref="E1"/>
      <selection pane="bottomLeft" activeCell="A2" sqref="A2"/>
      <selection pane="bottomRight" activeCell="D42" sqref="D42"/>
    </sheetView>
  </sheetViews>
  <sheetFormatPr baseColWidth="10" defaultColWidth="8.6640625" defaultRowHeight="15" x14ac:dyDescent="0.2"/>
  <cols>
    <col min="1" max="1" width="6" customWidth="1"/>
    <col min="2" max="2" width="7" customWidth="1"/>
    <col min="3" max="3" width="24" customWidth="1"/>
    <col min="4" max="4" width="45" customWidth="1"/>
    <col min="5" max="5" width="24" customWidth="1"/>
    <col min="6" max="6" width="14" customWidth="1"/>
    <col min="7" max="7" width="80" customWidth="1"/>
    <col min="8" max="8" width="16" customWidth="1"/>
    <col min="9" max="9" width="28" customWidth="1"/>
    <col min="10" max="10" width="14" customWidth="1"/>
    <col min="11" max="11" width="28" customWidth="1"/>
    <col min="12" max="12" width="30" customWidth="1"/>
    <col min="13" max="13" width="12" customWidth="1"/>
    <col min="14" max="14" width="16" customWidth="1"/>
    <col min="15" max="15" width="28" customWidth="1"/>
    <col min="16" max="16" width="55" customWidth="1"/>
    <col min="17" max="17" width="16" customWidth="1"/>
    <col min="18" max="18" width="28" customWidth="1"/>
    <col min="19" max="19" width="60" customWidth="1"/>
  </cols>
  <sheetData>
    <row r="1" spans="1:19" ht="31.5" customHeight="1" x14ac:dyDescent="0.2">
      <c r="A1" s="7" t="s">
        <v>29</v>
      </c>
      <c r="B1" s="7" t="s">
        <v>30</v>
      </c>
      <c r="C1" s="7" t="s">
        <v>31</v>
      </c>
      <c r="D1" s="7" t="s">
        <v>32</v>
      </c>
      <c r="E1" s="7" t="s">
        <v>33</v>
      </c>
      <c r="F1" s="7" t="s">
        <v>34</v>
      </c>
      <c r="G1" s="7" t="s">
        <v>35</v>
      </c>
      <c r="H1" s="7" t="s">
        <v>22</v>
      </c>
      <c r="I1" s="7" t="s">
        <v>36</v>
      </c>
      <c r="J1" s="7" t="s">
        <v>37</v>
      </c>
      <c r="K1" s="7" t="s">
        <v>38</v>
      </c>
      <c r="L1" s="7" t="s">
        <v>25</v>
      </c>
      <c r="M1" s="7" t="s">
        <v>39</v>
      </c>
      <c r="N1" s="8" t="s">
        <v>40</v>
      </c>
      <c r="O1" s="8" t="s">
        <v>41</v>
      </c>
      <c r="P1" s="8" t="s">
        <v>42</v>
      </c>
      <c r="Q1" s="8" t="inlineStr">
        <is>
          <t>Independent T/A decision (AI)</t>
        </is>
      </c>
      <c r="R1" s="8" t="inlineStr">
        <is>
          <t>Independent exclusion reason (AI)</t>
        </is>
      </c>
      <c r="S1" s="8" t="inlineStr">
        <is>
          <t>Independent rationale (AI)</t>
        </is>
      </c>
    </row>
    <row r="2" spans="1:19" ht="90" customHeight="1" x14ac:dyDescent="0.2">
      <c r="A2" s="9">
        <v>1</v>
      </c>
      <c r="B2" s="9"/>
      <c r="C2" s="9"/>
      <c r="D2" s="9" t="s">
        <v>134</v>
      </c>
      <c r="E2" s="9" t="s">
        <v>43</v>
      </c>
      <c r="F2" s="10" t="s">
        <v>44</v>
      </c>
      <c r="G2" s="9" t="s">
        <v>45</v>
      </c>
      <c r="H2" s="11"/>
      <c r="I2" s="11"/>
      <c r="J2" s="11"/>
      <c r="K2" s="11"/>
      <c r="L2" s="11"/>
      <c r="M2" s="9" t="s">
        <v>46</v>
      </c>
      <c r="N2" s="12" t="s">
        <v>19</v>
      </c>
      <c r="O2" s="12" t="s">
        <v>47</v>
      </c>
      <c r="P2" s="12" t="s">
        <v>48</v>
      </c>
      <c r="Q2" s="12"/>
      <c r="R2" s="12"/>
      <c r="S2" s="12"/>
    </row>
    <row r="3" spans="1:19" ht="90" customHeight="1" x14ac:dyDescent="0.2">
      <c r="A3" s="9">
        <v>2</v>
      </c>
      <c r="B3" s="9">
        <v>2020</v>
      </c>
      <c r="C3" s="9" t="s">
        <v>49</v>
      </c>
      <c r="D3" s="9" t="s">
        <v>50</v>
      </c>
      <c r="E3" s="9" t="s">
        <v>51</v>
      </c>
      <c r="F3" s="10" t="s">
        <v>52</v>
      </c>
      <c r="G3" s="13" t="s">
        <v>53</v>
      </c>
      <c r="H3" s="11" t="inlineStr">
        <is>
          <t>Include</t>
        </is>
      </c>
      <c r="I3" s="11"/>
      <c r="J3" s="11"/>
      <c r="K3" s="11"/>
      <c r="L3" s="11"/>
      <c r="M3" s="9" t="s">
        <v>54</v>
      </c>
      <c r="N3" s="12" t="s">
        <v>19</v>
      </c>
      <c r="O3" s="12" t="s">
        <v>55</v>
      </c>
      <c r="P3" s="12" t="s">
        <v>56</v>
      </c>
      <c r="Q3" s="12"/>
      <c r="R3" s="12"/>
      <c r="S3" s="12"/>
    </row>
    <row r="4" spans="1:19" ht="90" customHeight="1" x14ac:dyDescent="0.2">
      <c r="A4" s="9">
        <v>3</v>
      </c>
      <c r="B4" s="9">
        <v>2012</v>
      </c>
      <c r="C4" s="9" t="s">
        <v>57</v>
      </c>
      <c r="D4" s="9" t="s">
        <v>58</v>
      </c>
      <c r="E4" s="9" t="s">
        <v>59</v>
      </c>
      <c r="F4" s="10" t="s">
        <v>52</v>
      </c>
      <c r="G4" s="9" t="s">
        <v>60</v>
      </c>
      <c r="H4" s="11" t="inlineStr">
        <is>
          <t>Maybe</t>
        </is>
      </c>
      <c r="I4" s="11"/>
      <c r="J4" s="11"/>
      <c r="K4" s="11"/>
      <c r="L4" s="11"/>
      <c r="M4" s="9" t="s">
        <v>61</v>
      </c>
      <c r="N4" s="12" t="s">
        <v>19</v>
      </c>
      <c r="O4" s="12" t="s">
        <v>62</v>
      </c>
      <c r="P4" s="12" t="s">
        <v>63</v>
      </c>
      <c r="Q4" s="12"/>
      <c r="R4" s="12"/>
      <c r="S4" s="12"/>
    </row>
    <row r="5" spans="1:19" ht="90" customHeight="1" x14ac:dyDescent="0.2">
      <c r="A5" s="9">
        <v>4</v>
      </c>
      <c r="B5" s="9">
        <v>2022</v>
      </c>
      <c r="C5" s="9" t="s">
        <v>64</v>
      </c>
      <c r="D5" s="9" t="s">
        <v>65</v>
      </c>
      <c r="E5" s="9" t="s">
        <v>66</v>
      </c>
      <c r="F5" s="10" t="s">
        <v>52</v>
      </c>
      <c r="G5" s="13" t="s">
        <v>67</v>
      </c>
      <c r="H5" s="11"/>
      <c r="I5" s="11"/>
      <c r="J5" s="11"/>
      <c r="K5" s="11"/>
      <c r="L5" s="11"/>
      <c r="M5" s="9" t="s">
        <v>68</v>
      </c>
      <c r="N5" s="12" t="s">
        <v>19</v>
      </c>
      <c r="O5" s="12" t="s">
        <v>69</v>
      </c>
      <c r="P5" s="12" t="s">
        <v>70</v>
      </c>
      <c r="Q5" s="12"/>
      <c r="R5" s="12"/>
      <c r="S5" s="12"/>
    </row>
    <row r="6" spans="1:19" ht="90" customHeight="1" x14ac:dyDescent="0.2">
      <c r="A6" s="9">
        <v>5</v>
      </c>
      <c r="B6" s="9">
        <v>2012</v>
      </c>
      <c r="C6" s="9" t="s">
        <v>71</v>
      </c>
      <c r="D6" s="9" t="s">
        <v>72</v>
      </c>
      <c r="E6" s="9" t="s">
        <v>73</v>
      </c>
      <c r="F6" s="10" t="s">
        <v>52</v>
      </c>
      <c r="G6" s="9" t="s">
        <v>74</v>
      </c>
      <c r="H6" s="11" t="inlineStr">
        <is>
          <t>Include</t>
        </is>
      </c>
      <c r="I6" s="11"/>
      <c r="J6" s="11"/>
      <c r="K6" s="11"/>
      <c r="L6" s="11"/>
      <c r="M6" s="9" t="s">
        <v>75</v>
      </c>
      <c r="N6" s="12" t="s">
        <v>76</v>
      </c>
      <c r="O6" s="12"/>
      <c r="P6" s="12" t="s">
        <v>77</v>
      </c>
      <c r="Q6" s="12"/>
      <c r="R6" s="12"/>
      <c r="S6" s="12"/>
    </row>
    <row r="7" spans="1:19" ht="90" customHeight="1" x14ac:dyDescent="0.2">
      <c r="A7" s="9">
        <v>6</v>
      </c>
      <c r="B7" s="9">
        <v>2020</v>
      </c>
      <c r="C7" s="9" t="s">
        <v>78</v>
      </c>
      <c r="D7" s="9" t="s">
        <v>79</v>
      </c>
      <c r="E7" s="9" t="s">
        <v>80</v>
      </c>
      <c r="F7" s="10" t="s">
        <v>52</v>
      </c>
      <c r="G7" s="9" t="s">
        <v>81</v>
      </c>
      <c r="H7" s="11" t="inlineStr">
        <is>
          <t>Maybe</t>
        </is>
      </c>
      <c r="I7" s="11"/>
      <c r="J7" s="11"/>
      <c r="K7" s="11"/>
      <c r="L7" s="11"/>
      <c r="M7" s="9" t="s">
        <v>82</v>
      </c>
      <c r="N7" s="12" t="s">
        <v>19</v>
      </c>
      <c r="O7" s="12" t="s">
        <v>62</v>
      </c>
      <c r="P7" s="12" t="s">
        <v>83</v>
      </c>
      <c r="Q7" s="12"/>
      <c r="R7" s="12"/>
      <c r="S7" s="12"/>
    </row>
    <row r="8" spans="1:19" ht="90" customHeight="1" x14ac:dyDescent="0.2">
      <c r="A8" s="9">
        <v>7</v>
      </c>
      <c r="B8" s="9">
        <v>2009</v>
      </c>
      <c r="C8" s="9" t="s">
        <v>84</v>
      </c>
      <c r="D8" s="9" t="s">
        <v>85</v>
      </c>
      <c r="E8" s="9" t="s">
        <v>86</v>
      </c>
      <c r="F8" s="10" t="s">
        <v>52</v>
      </c>
      <c r="G8" s="13" t="s">
        <v>87</v>
      </c>
      <c r="H8" s="11"/>
      <c r="I8" s="11"/>
      <c r="J8" s="11"/>
      <c r="K8" s="11"/>
      <c r="L8" s="11"/>
      <c r="M8" s="9" t="s">
        <v>88</v>
      </c>
      <c r="N8" s="12" t="s">
        <v>19</v>
      </c>
      <c r="O8" s="12" t="s">
        <v>47</v>
      </c>
      <c r="P8" s="12" t="s">
        <v>89</v>
      </c>
      <c r="Q8" s="12"/>
      <c r="R8" s="12"/>
      <c r="S8" s="12"/>
    </row>
    <row r="9" spans="1:19" ht="90" customHeight="1" x14ac:dyDescent="0.2">
      <c r="A9" s="9">
        <v>8</v>
      </c>
      <c r="B9" s="9">
        <v>2021</v>
      </c>
      <c r="C9" s="9" t="s">
        <v>90</v>
      </c>
      <c r="D9" s="9" t="s">
        <v>91</v>
      </c>
      <c r="E9" s="9" t="s">
        <v>92</v>
      </c>
      <c r="F9" s="10" t="s">
        <v>52</v>
      </c>
      <c r="G9" s="9" t="s">
        <v>93</v>
      </c>
      <c r="H9" s="11"/>
      <c r="I9" s="11"/>
      <c r="J9" s="11"/>
      <c r="K9" s="11"/>
      <c r="L9" s="11"/>
      <c r="M9" s="9" t="s">
        <v>94</v>
      </c>
      <c r="N9" s="12" t="s">
        <v>19</v>
      </c>
      <c r="O9" s="12" t="s">
        <v>95</v>
      </c>
      <c r="P9" s="12" t="s">
        <v>96</v>
      </c>
      <c r="Q9" s="12"/>
      <c r="R9" s="12"/>
      <c r="S9" s="12"/>
    </row>
    <row r="10" spans="1:19" ht="90" customHeight="1" x14ac:dyDescent="0.2">
      <c r="A10" s="9">
        <v>9</v>
      </c>
      <c r="B10" s="9">
        <v>2026</v>
      </c>
      <c r="C10" s="9" t="s">
        <v>97</v>
      </c>
      <c r="D10" s="9" t="s">
        <v>98</v>
      </c>
      <c r="E10" s="9" t="s">
        <v>99</v>
      </c>
      <c r="F10" s="10" t="s">
        <v>52</v>
      </c>
      <c r="G10" s="13" t="s">
        <v>100</v>
      </c>
      <c r="H10" s="11"/>
      <c r="I10" s="11"/>
      <c r="J10" s="11"/>
      <c r="K10" s="11"/>
      <c r="L10" s="11"/>
      <c r="M10" s="9" t="s">
        <v>101</v>
      </c>
      <c r="N10" s="12" t="s">
        <v>19</v>
      </c>
      <c r="O10" s="12" t="s">
        <v>24</v>
      </c>
      <c r="P10" s="12" t="s">
        <v>102</v>
      </c>
      <c r="Q10" s="12"/>
      <c r="R10" s="12"/>
      <c r="S10" s="12"/>
    </row>
    <row r="11" spans="1:19" ht="90" customHeight="1" x14ac:dyDescent="0.2">
      <c r="A11" s="9">
        <v>10</v>
      </c>
      <c r="B11" s="9">
        <v>2026</v>
      </c>
      <c r="C11" s="9" t="s">
        <v>103</v>
      </c>
      <c r="D11" s="9" t="s">
        <v>104</v>
      </c>
      <c r="E11" s="9" t="s">
        <v>105</v>
      </c>
      <c r="F11" s="10" t="s">
        <v>52</v>
      </c>
      <c r="G11" s="9" t="s">
        <v>106</v>
      </c>
      <c r="H11" s="11"/>
      <c r="I11" s="11"/>
      <c r="J11" s="11"/>
      <c r="K11" s="11"/>
      <c r="L11" s="11"/>
      <c r="M11" s="9" t="s">
        <v>107</v>
      </c>
      <c r="N11" s="12" t="s">
        <v>19</v>
      </c>
      <c r="O11" s="12" t="s">
        <v>95</v>
      </c>
      <c r="P11" s="12" t="s">
        <v>108</v>
      </c>
      <c r="Q11" s="12"/>
      <c r="R11" s="12"/>
      <c r="S11" s="12"/>
    </row>
  </sheetData>
  <autoFilter ref="A1:S11" xr:uid="{00000000-0009-0000-0000-000001000000}"/>
  <conditionalFormatting sqref="H2:H11">
    <cfRule type="expression" dxfId="8" priority="2">
      <formula>H2="Include"</formula>
    </cfRule>
    <cfRule type="expression" dxfId="7" priority="3">
      <formula>H2="Exclude"</formula>
    </cfRule>
    <cfRule type="expression" dxfId="6" priority="4">
      <formula>H2="Maybe"</formula>
    </cfRule>
  </conditionalFormatting>
  <conditionalFormatting sqref="J2:J11">
    <cfRule type="expression" dxfId="5" priority="5">
      <formula>J2="Include"</formula>
    </cfRule>
    <cfRule type="expression" dxfId="4" priority="6">
      <formula>J2="Exclude"</formula>
    </cfRule>
    <cfRule type="expression" dxfId="3" priority="7">
      <formula>J2="Maybe"</formula>
    </cfRule>
  </conditionalFormatting>
  <conditionalFormatting sqref="N2:N11">
    <cfRule type="expression" dxfId="2" priority="8">
      <formula>N2="Include"</formula>
    </cfRule>
    <cfRule type="expression" dxfId="1" priority="9">
      <formula>N2="Exclude"</formula>
    </cfRule>
    <cfRule type="expression" dxfId="0" priority="10">
      <formula>N2="Maybe"</formula>
    </cfRule>
  </conditionalFormatting>
  <conditionalFormatting sqref="Q2:Q11">
    <cfRule type="expression" dxfId="2" priority="11">
      <formula>Q2="Include"</formula>
    </cfRule>
    <cfRule type="expression" dxfId="1" priority="12">
      <formula>Q2="Exclude"</formula>
    </cfRule>
    <cfRule type="expression" dxfId="0" priority="13">
      <formula>Q2="Maybe"</formula>
    </cfRule>
  </conditionalFormatting>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Lists!$A$2:$A$4</xm:f>
          </x14:formula1>
          <x14:formula2>
            <xm:f>0</xm:f>
          </x14:formula2>
          <xm:sqref>H2:H11</xm:sqref>
        </x14:dataValidation>
        <x14:dataValidation type="list" allowBlank="1" xr:uid="{00000000-0002-0000-0100-000001000000}">
          <x14:formula1>
            <xm:f>Lists!$C$2:$C$11</xm:f>
          </x14:formula1>
          <x14:formula2>
            <xm:f>0</xm:f>
          </x14:formula2>
          <xm:sqref>I2:I11 K2:K11</xm:sqref>
        </x14:dataValidation>
        <x14:dataValidation type="list" allowBlank="1" xr:uid="{00000000-0002-0000-0100-000002000000}">
          <x14:formula1>
            <xm:f>Lists!$B$2:$B$3</xm:f>
          </x14:formula1>
          <x14:formula2>
            <xm:f>0</xm:f>
          </x14:formula2>
          <xm:sqref>J2:J11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32"/>
  <sheetViews>
    <sheetView zoomScaleNormal="100" workbookViewId="0"/>
  </sheetViews>
  <sheetFormatPr baseColWidth="10" defaultColWidth="8.6640625" defaultRowHeight="15" x14ac:dyDescent="0.2"/>
  <cols>
    <col min="1" max="1" width="40" customWidth="1"/>
    <col min="2" max="2" width="16" customWidth="1"/>
    <col min="3" max="3" width="36" customWidth="1"/>
  </cols>
  <sheetData>
    <row r="2" spans="1:3" ht="15.75" customHeight="1" x14ac:dyDescent="0.2">
      <c r="A2" s="14" t="s">
        <v>110</v>
      </c>
    </row>
    <row r="3" spans="1:3" x14ac:dyDescent="0.2">
      <c r="A3" s="15" t="s">
        <v>111</v>
      </c>
      <c r="B3" s="16">
        <v>7</v>
      </c>
      <c r="C3" s="17" t="s">
        <v>112</v>
      </c>
    </row>
    <row r="4" spans="1:3" x14ac:dyDescent="0.2">
      <c r="A4" s="15" t="s">
        <v>113</v>
      </c>
      <c r="B4" s="16">
        <v>6</v>
      </c>
      <c r="C4" s="17" t="s">
        <v>112</v>
      </c>
    </row>
    <row r="5" spans="1:3" x14ac:dyDescent="0.2">
      <c r="A5" s="15" t="inlineStr">
        <is>
          <t>Records identified – other sources</t>
        </is>
      </c>
      <c r="B5" s="16">
        <v>3</v>
      </c>
      <c r="C5" s="17" t="inlineStr">
        <is>
          <t>Source: key sources in the study outline, added by hand (13 Oct 2026)</t>
        </is>
      </c>
    </row>
    <row r="6" spans="1:3" x14ac:dyDescent="0.2">
      <c r="A6" s="15" t="s">
        <v>114</v>
      </c>
      <c r="B6" s="18">
        <f>B3+B4+B5</f>
        <v>16</v>
      </c>
    </row>
    <row r="7" spans="1:3" x14ac:dyDescent="0.2">
      <c r="A7" s="15" t="s">
        <v>115</v>
      </c>
      <c r="B7" s="18">
        <f>B6-B8</f>
        <v>6</v>
      </c>
    </row>
    <row r="8" spans="1:3" x14ac:dyDescent="0.2">
      <c r="A8" s="15" t="s">
        <v>116</v>
      </c>
      <c r="B8" s="18">
        <f>COUNTA(Screening!$D$2:$D$11)</f>
        <v>10</v>
      </c>
    </row>
    <row r="9" spans="1:3" x14ac:dyDescent="0.2">
      <c r="A9" s="15" t="s">
        <v>117</v>
      </c>
      <c r="B9" s="18">
        <f>COUNTA(Screening!$H$2:$H$11)</f>
        <v>4</v>
      </c>
    </row>
    <row r="10" spans="1:3" x14ac:dyDescent="0.2">
      <c r="A10" s="15" t="s">
        <v>118</v>
      </c>
      <c r="B10" s="18">
        <f>COUNTIF(Screening!$H$2:$H$11,"Exclude")</f>
        <v>0</v>
      </c>
    </row>
    <row r="11" spans="1:3" x14ac:dyDescent="0.2">
      <c r="A11" s="15" t="s">
        <v>119</v>
      </c>
      <c r="B11" s="18">
        <f>COUNTIF(Screening!$H$2:$H$11,"Include")+COUNTIF(Screening!$H$2:$H$11,"Maybe")</f>
        <v>4</v>
      </c>
    </row>
    <row r="12" spans="1:3" x14ac:dyDescent="0.2">
      <c r="A12" s="15" t="s">
        <v>120</v>
      </c>
      <c r="B12" s="18">
        <f>COUNTA(Screening!$J$2:$J$11)</f>
        <v>0</v>
      </c>
    </row>
    <row r="13" spans="1:3" x14ac:dyDescent="0.2">
      <c r="A13" s="15" t="s">
        <v>121</v>
      </c>
      <c r="B13" s="18">
        <f>COUNTIF(Screening!$J$2:$J$11,"Exclude")</f>
        <v>0</v>
      </c>
    </row>
    <row r="14" spans="1:3" x14ac:dyDescent="0.2">
      <c r="A14" s="19" t="s">
        <v>122</v>
      </c>
      <c r="B14" s="20">
        <f>COUNTIF(Screening!$J$2:$J$11,"Include")</f>
        <v>0</v>
      </c>
    </row>
    <row r="17" spans="1:3" ht="15.75" customHeight="1" x14ac:dyDescent="0.2">
      <c r="A17" s="14" t="s">
        <v>123</v>
      </c>
    </row>
    <row r="18" spans="1:3" x14ac:dyDescent="0.2">
      <c r="A18" s="19" t="s">
        <v>23</v>
      </c>
      <c r="B18" s="19" t="s">
        <v>124</v>
      </c>
      <c r="C18" s="19" t="s">
        <v>125</v>
      </c>
    </row>
    <row r="19" spans="1:3" x14ac:dyDescent="0.2">
      <c r="A19" s="15" t="s">
        <v>47</v>
      </c>
      <c r="B19" s="15">
        <f>COUNTIF(Screening!$I$2:$I$11,A19)</f>
        <v>0</v>
      </c>
      <c r="C19" s="15">
        <f>COUNTIF(Screening!$K$2:$K$11,A19)</f>
        <v>0</v>
      </c>
    </row>
    <row r="20" spans="1:3" x14ac:dyDescent="0.2">
      <c r="A20" s="15" t="s">
        <v>24</v>
      </c>
      <c r="B20" s="15">
        <f>COUNTIF(Screening!$I$2:$I$11,A20)</f>
        <v>0</v>
      </c>
      <c r="C20" s="15">
        <f>COUNTIF(Screening!$K$2:$K$11,A20)</f>
        <v>0</v>
      </c>
    </row>
    <row r="21" spans="1:3" x14ac:dyDescent="0.2">
      <c r="A21" s="15" t="s">
        <v>62</v>
      </c>
      <c r="B21" s="15">
        <f>COUNTIF(Screening!$I$2:$I$11,A21)</f>
        <v>0</v>
      </c>
      <c r="C21" s="15">
        <f>COUNTIF(Screening!$K$2:$K$11,A21)</f>
        <v>0</v>
      </c>
    </row>
    <row r="22" spans="1:3" x14ac:dyDescent="0.2">
      <c r="A22" s="15" t="s">
        <v>55</v>
      </c>
      <c r="B22" s="15">
        <f>COUNTIF(Screening!$I$2:$I$11,A22)</f>
        <v>0</v>
      </c>
      <c r="C22" s="15">
        <f>COUNTIF(Screening!$K$2:$K$11,A22)</f>
        <v>0</v>
      </c>
    </row>
    <row r="23" spans="1:3" x14ac:dyDescent="0.2">
      <c r="A23" s="15" t="s">
        <v>95</v>
      </c>
      <c r="B23" s="15">
        <f>COUNTIF(Screening!$I$2:$I$11,A23)</f>
        <v>0</v>
      </c>
      <c r="C23" s="15">
        <f>COUNTIF(Screening!$K$2:$K$11,A23)</f>
        <v>0</v>
      </c>
    </row>
    <row r="24" spans="1:3" x14ac:dyDescent="0.2">
      <c r="A24" s="15" t="s">
        <v>69</v>
      </c>
      <c r="B24" s="15">
        <f>COUNTIF(Screening!$I$2:$I$11,A24)</f>
        <v>0</v>
      </c>
      <c r="C24" s="15">
        <f>COUNTIF(Screening!$K$2:$K$11,A24)</f>
        <v>0</v>
      </c>
    </row>
    <row r="25" spans="1:3" x14ac:dyDescent="0.2">
      <c r="A25" s="15" t="s">
        <v>126</v>
      </c>
      <c r="B25" s="15">
        <f>COUNTIF(Screening!$I$2:$I$11,A25)</f>
        <v>0</v>
      </c>
      <c r="C25" s="15">
        <f>COUNTIF(Screening!$K$2:$K$11,A25)</f>
        <v>0</v>
      </c>
    </row>
    <row r="26" spans="1:3" x14ac:dyDescent="0.2">
      <c r="A26" s="15" t="s">
        <v>127</v>
      </c>
      <c r="B26" s="15">
        <f>COUNTIF(Screening!$I$2:$I$11,A26)</f>
        <v>0</v>
      </c>
      <c r="C26" s="15">
        <f>COUNTIF(Screening!$K$2:$K$11,A26)</f>
        <v>0</v>
      </c>
    </row>
    <row r="27" spans="1:3" x14ac:dyDescent="0.2">
      <c r="A27" s="15" t="s">
        <v>128</v>
      </c>
      <c r="B27" s="15">
        <f>COUNTIF(Screening!$I$2:$I$11,A27)</f>
        <v>0</v>
      </c>
      <c r="C27" s="15">
        <f>COUNTIF(Screening!$K$2:$K$11,A27)</f>
        <v>0</v>
      </c>
    </row>
    <row r="28" spans="1:3" x14ac:dyDescent="0.2">
      <c r="A28" s="15" t="s">
        <v>109</v>
      </c>
      <c r="B28" s="15">
        <f>COUNTIF(Screening!$I$2:$I$11,A28)</f>
        <v>0</v>
      </c>
      <c r="C28" s="15">
        <f>COUNTIF(Screening!$K$2:$K$11,A28)</f>
        <v>0</v>
      </c>
    </row>
    <row r="30" spans="1:3" ht="16" x14ac:dyDescent="0.2">
      <c r="A30" s="21" t="s">
        <v>129</v>
      </c>
    </row>
    <row r="31" spans="1:3" x14ac:dyDescent="0.2">
      <c r="A31" s="22" t="s">
        <v>130</v>
      </c>
      <c r="B31" s="22">
        <f>SUMPRODUCT((Screening!$H$2:$H$11&lt;&gt;"")*(Screening!$H$2:$H$11=Screening!$N$2:$N$11))</f>
        <v>0</v>
      </c>
    </row>
    <row r="32" spans="1:3" x14ac:dyDescent="0.2">
      <c r="A32" s="22" t="s">
        <v>131</v>
      </c>
      <c r="B32" s="22">
        <f>SUMPRODUCT((Screening!$H$2:$H$11&lt;&gt;"")*(Screening!$H$2:$H$11&lt;&gt;Screening!$N$2:$N$11))</f>
        <v>4</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zoomScaleNormal="100" workbookViewId="0"/>
  </sheetViews>
  <sheetFormatPr baseColWidth="10" defaultColWidth="8.6640625" defaultRowHeight="15" x14ac:dyDescent="0.2"/>
  <cols>
    <col min="1" max="1" width="14" customWidth="1"/>
    <col min="2" max="2" width="20" customWidth="1"/>
    <col min="3" max="3" width="40" customWidth="1"/>
  </cols>
  <sheetData>
    <row r="1" spans="1:3" x14ac:dyDescent="0.2">
      <c r="A1" s="19" t="s">
        <v>132</v>
      </c>
      <c r="B1" s="19" t="s">
        <v>133</v>
      </c>
      <c r="C1" s="19" t="s">
        <v>123</v>
      </c>
    </row>
    <row r="2" spans="1:3" x14ac:dyDescent="0.2">
      <c r="A2" s="15" t="s">
        <v>17</v>
      </c>
      <c r="B2" s="15" t="s">
        <v>17</v>
      </c>
      <c r="C2" s="15" t="s">
        <v>47</v>
      </c>
    </row>
    <row r="3" spans="1:3" x14ac:dyDescent="0.2">
      <c r="A3" s="15" t="s">
        <v>19</v>
      </c>
      <c r="B3" s="15" t="s">
        <v>19</v>
      </c>
      <c r="C3" s="15" t="s">
        <v>24</v>
      </c>
    </row>
    <row r="4" spans="1:3" x14ac:dyDescent="0.2">
      <c r="A4" s="15" t="s">
        <v>76</v>
      </c>
      <c r="B4" s="15"/>
      <c r="C4" s="15" t="s">
        <v>62</v>
      </c>
    </row>
    <row r="5" spans="1:3" x14ac:dyDescent="0.2">
      <c r="A5" s="15"/>
      <c r="B5" s="15"/>
      <c r="C5" s="15" t="s">
        <v>55</v>
      </c>
    </row>
    <row r="6" spans="1:3" x14ac:dyDescent="0.2">
      <c r="A6" s="15"/>
      <c r="B6" s="15"/>
      <c r="C6" s="15" t="s">
        <v>95</v>
      </c>
    </row>
    <row r="7" spans="1:3" x14ac:dyDescent="0.2">
      <c r="A7" s="15"/>
      <c r="B7" s="15"/>
      <c r="C7" s="15" t="s">
        <v>69</v>
      </c>
    </row>
    <row r="8" spans="1:3" x14ac:dyDescent="0.2">
      <c r="A8" s="15"/>
      <c r="B8" s="15"/>
      <c r="C8" s="15" t="s">
        <v>126</v>
      </c>
    </row>
    <row r="9" spans="1:3" x14ac:dyDescent="0.2">
      <c r="A9" s="15"/>
      <c r="B9" s="15"/>
      <c r="C9" s="15" t="s">
        <v>127</v>
      </c>
    </row>
    <row r="10" spans="1:3" x14ac:dyDescent="0.2">
      <c r="A10" s="15"/>
      <c r="B10" s="15"/>
      <c r="C10" s="15" t="s">
        <v>128</v>
      </c>
    </row>
    <row r="11" spans="1:3" x14ac:dyDescent="0.2">
      <c r="A11" s="15"/>
      <c r="B11" s="15"/>
      <c r="C11" s="15" t="s">
        <v>109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Screening</vt:lpstr>
      <vt:lpstr>Counts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Moossavi, Mona</cp:lastModifiedBy>
  <cp:revision>0</cp:revision>
  <dcterms:created xsi:type="dcterms:W3CDTF">2026-10-05T02:39:39Z</dcterms:created>
  <dcterms:modified xsi:type="dcterms:W3CDTF">2026-10-13T01:30:08Z</dcterms:modified>
  <dc:language>en-US</dc:language>
</cp:coreProperties>
</file>